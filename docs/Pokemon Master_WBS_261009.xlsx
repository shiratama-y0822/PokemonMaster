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6"/>
  <workbookPr defaultThemeVersion="166925"/>
  <xr:revisionPtr revIDLastSave="0" documentId="8_{4A0A4BA3-AB3D-47FF-A969-220473CF1E2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2" i="1" l="1"/>
  <c r="L2" i="1" s="1"/>
  <c r="M2" i="1" s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Y2" i="1" s="1"/>
  <c r="Z2" i="1" s="1"/>
  <c r="AA2" i="1" s="1"/>
  <c r="AB2" i="1" s="1"/>
  <c r="AC2" i="1" s="1"/>
  <c r="AD2" i="1" s="1"/>
  <c r="AE2" i="1" s="1"/>
  <c r="AF2" i="1" s="1"/>
  <c r="AG2" i="1" s="1"/>
  <c r="AH2" i="1" s="1"/>
  <c r="AI2" i="1" s="1"/>
  <c r="AJ2" i="1" s="1"/>
  <c r="AK2" i="1" s="1"/>
  <c r="AL2" i="1" s="1"/>
  <c r="AM2" i="1" s="1"/>
  <c r="AN2" i="1" s="1"/>
  <c r="AO2" i="1" s="1"/>
  <c r="AP2" i="1" s="1"/>
  <c r="AQ2" i="1" s="1"/>
  <c r="AR2" i="1" s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</calcChain>
</file>

<file path=xl/sharedStrings.xml><?xml version="1.0" encoding="utf-8"?>
<sst xmlns="http://schemas.openxmlformats.org/spreadsheetml/2006/main" count="580" uniqueCount="236">
  <si>
    <t>WBS_ID</t>
  </si>
  <si>
    <t>工程</t>
  </si>
  <si>
    <t>分類</t>
  </si>
  <si>
    <t>作業項目</t>
  </si>
  <si>
    <t>作業内容</t>
  </si>
  <si>
    <t>進捗状況</t>
  </si>
  <si>
    <t>開始日</t>
  </si>
  <si>
    <t>終了日</t>
  </si>
  <si>
    <t>優先度</t>
  </si>
  <si>
    <t>日付</t>
  </si>
  <si>
    <t>設計</t>
  </si>
  <si>
    <t>基本設計</t>
  </si>
  <si>
    <t>要件定義書の最終確認</t>
  </si>
  <si>
    <t>Must機能と未決事項を確認する</t>
  </si>
  <si>
    <t>未着手</t>
  </si>
  <si>
    <t>高</t>
  </si>
  <si>
    <t>画面一覧の確定</t>
  </si>
  <si>
    <t>必要な画面と役割を整理する</t>
  </si>
  <si>
    <t>進行中</t>
  </si>
  <si>
    <t>画面遷移図作成</t>
  </si>
  <si>
    <t>画面間の遷移とログイン制御を設計する</t>
  </si>
  <si>
    <t>完了</t>
  </si>
  <si>
    <t>システム構成図作成</t>
  </si>
  <si>
    <t>FrontendとBackendとDBと外部APIの関係を設計する</t>
  </si>
  <si>
    <t>遅延</t>
  </si>
  <si>
    <t>画面設計</t>
  </si>
  <si>
    <t>ログイン画面設計</t>
  </si>
  <si>
    <t>ログイン画面のレイアウトと入力項目を設計する</t>
  </si>
  <si>
    <t>新規登録画面設計</t>
  </si>
  <si>
    <t>アカウント登録画面を設計する</t>
  </si>
  <si>
    <t>ホーム画面設計</t>
  </si>
  <si>
    <t>メニューと登録数表示を設計する</t>
  </si>
  <si>
    <t>ポケモン図鑑画面設計</t>
  </si>
  <si>
    <t>検索画面と結果一覧と詳細画面を設計する</t>
  </si>
  <si>
    <t>ボックス画面設計</t>
  </si>
  <si>
    <t>一覧と詳細と登録編集画面を設計する</t>
  </si>
  <si>
    <t>パーティ画面設計</t>
  </si>
  <si>
    <t>一覧と登録変更画面を設計する</t>
  </si>
  <si>
    <t>タイプ相性表画面設計</t>
  </si>
  <si>
    <t>相性表の表示方法を設計する</t>
  </si>
  <si>
    <t>DB設計</t>
  </si>
  <si>
    <t>ER図作成</t>
  </si>
  <si>
    <t>ユーザーとボックスとパーティの関係を設計する</t>
  </si>
  <si>
    <t>テーブル定義作成</t>
  </si>
  <si>
    <t>カラムとデータ型とPKとFKを決める</t>
  </si>
  <si>
    <t>API設計</t>
  </si>
  <si>
    <t>API一覧確定</t>
  </si>
  <si>
    <t>16本のAPIとHTTPメソッドを整理する</t>
  </si>
  <si>
    <t>URL設計</t>
  </si>
  <si>
    <t>各APIのエンドポイントを設計する</t>
  </si>
  <si>
    <t>Request設計</t>
  </si>
  <si>
    <t>各APIの入力パラメータとJSONを設計する</t>
  </si>
  <si>
    <t>Response設計</t>
  </si>
  <si>
    <t>各APIの返却JSONとHTTPステータスを設計する</t>
  </si>
  <si>
    <t>認証設計</t>
  </si>
  <si>
    <t>ログイン方式設計</t>
  </si>
  <si>
    <t>セッション管理とCookieと認証方式を決定する</t>
  </si>
  <si>
    <t>詳細設計</t>
  </si>
  <si>
    <t>バックエンド構成設計</t>
  </si>
  <si>
    <t>ControllerとServiceとRepositoryの責務を整理する</t>
  </si>
  <si>
    <t>入力チェックとエラー設計</t>
  </si>
  <si>
    <t>Validationと例外処理とエラー表示を設計する</t>
  </si>
  <si>
    <t>製造</t>
  </si>
  <si>
    <t>開発環境</t>
  </si>
  <si>
    <t>GitHubリポジトリ準備</t>
  </si>
  <si>
    <t>ソースコード管理と.gitignoreを整える</t>
  </si>
  <si>
    <t>Next.js環境構築</t>
  </si>
  <si>
    <t>ReactとTypeScriptの実行環境を構築する</t>
  </si>
  <si>
    <t>Spring Boot環境構築</t>
  </si>
  <si>
    <t>Javaのバックエンド開発環境を構築する</t>
  </si>
  <si>
    <t>PostgreSQL環境構築</t>
  </si>
  <si>
    <t>DB作成と接続確認を行う</t>
  </si>
  <si>
    <t>Docker環境構築</t>
  </si>
  <si>
    <t>Docker Composeで開発用コンテナを構築する</t>
  </si>
  <si>
    <t>DB</t>
  </si>
  <si>
    <t>テーブル作成</t>
  </si>
  <si>
    <t>ユーザーとボックスとパーティのテーブルを作成する</t>
  </si>
  <si>
    <t>Backend</t>
  </si>
  <si>
    <t>Entity作成</t>
  </si>
  <si>
    <t>DBテーブルに対応するEntityを作成する</t>
  </si>
  <si>
    <t>Repository作成</t>
  </si>
  <si>
    <t>DBへの保存取得更新削除の処理を準備する</t>
  </si>
  <si>
    <t>DTO作成</t>
  </si>
  <si>
    <t>RequestとResponseのデータクラスを作成する</t>
  </si>
  <si>
    <t>共通例外処理実装</t>
  </si>
  <si>
    <t>APIのエラーを共通形式で返す</t>
  </si>
  <si>
    <t>入力チェック実装</t>
  </si>
  <si>
    <t>必須入力と文字数と値のチェックを実装する</t>
  </si>
  <si>
    <t>API</t>
  </si>
  <si>
    <t>API14 アカウント登録</t>
  </si>
  <si>
    <t>POST ユーザー登録とパスワードのハッシュ化を実装する</t>
  </si>
  <si>
    <t>API15 ログイン</t>
  </si>
  <si>
    <t>POST 認証とログイン状態の管理を実装する</t>
  </si>
  <si>
    <t>API16 ログアウト</t>
  </si>
  <si>
    <t>POST ログイン状態を終了する処理を実装する</t>
  </si>
  <si>
    <t>PokeAPI連携処理</t>
  </si>
  <si>
    <t>PokeAPIへのHTTP通信とJSON取得を実装する</t>
  </si>
  <si>
    <t>API1 ポケモン検索</t>
  </si>
  <si>
    <t>GET 名前と図鑑番号とタイプによる検索を実装する</t>
  </si>
  <si>
    <t>API2 ポケモン詳細取得</t>
  </si>
  <si>
    <t>GET 図鑑番号から詳細情報を取得する</t>
  </si>
  <si>
    <t>API4 ボックス一覧取得</t>
  </si>
  <si>
    <t>GET ログインユーザーの登録ポケモン一覧を取得する</t>
  </si>
  <si>
    <t>API5 ボックス登録</t>
  </si>
  <si>
    <t>POST 捕まえたポケモンをDBに保存する</t>
  </si>
  <si>
    <t>API6 ボックス詳細取得</t>
  </si>
  <si>
    <t>GET 登録済みポケモンの詳細を取得する</t>
  </si>
  <si>
    <t>API7 ボックス更新</t>
  </si>
  <si>
    <t>PUT 登録済みポケモンの情報を更新する</t>
  </si>
  <si>
    <t>API8 ボックス削除</t>
  </si>
  <si>
    <t>DELETE 登録済みポケモンを削除する</t>
  </si>
  <si>
    <t>API3 ボックス絞り込み検索</t>
  </si>
  <si>
    <t>GET 名前と図鑑番号とタイプで登録済みポケモンを検索する</t>
  </si>
  <si>
    <t>API13 パーティ一覧取得</t>
  </si>
  <si>
    <t>GET 登録済みパーティを取得する</t>
  </si>
  <si>
    <t>API9 パーティ登録</t>
  </si>
  <si>
    <t>POST ボックスからポケモンを選択してパーティに登録する</t>
  </si>
  <si>
    <t>API10 パーティ変更</t>
  </si>
  <si>
    <t>PUT パーティの登録ポケモンを変更する</t>
  </si>
  <si>
    <t>API11 パーティ削除</t>
  </si>
  <si>
    <t>DELETE パーティからポケモンを外す</t>
  </si>
  <si>
    <t>API12 タイプ相性表取得</t>
  </si>
  <si>
    <t>GET タイプ相性情報を取得して返す</t>
  </si>
  <si>
    <t>Frontend</t>
  </si>
  <si>
    <t>共通レイアウト実装</t>
  </si>
  <si>
    <t>ヘッダーとサイドバーとナビゲーションを実装する</t>
  </si>
  <si>
    <t>API通信共通処理実装</t>
  </si>
  <si>
    <t>BackendへのHTTP通信とエラー処理を作成する</t>
  </si>
  <si>
    <t>新規登録画面実装</t>
  </si>
  <si>
    <t>入力フォームとアカウント登録APIを連携する</t>
  </si>
  <si>
    <t>ログイン画面実装</t>
  </si>
  <si>
    <t>ログインフォームと認証APIを連携する</t>
  </si>
  <si>
    <t>ログアウト機能実装</t>
  </si>
  <si>
    <t>ログアウト処理と画面遷移を実装する</t>
  </si>
  <si>
    <t>ホーム画面実装</t>
  </si>
  <si>
    <t>メニューと登録ポケモン数を表示する</t>
  </si>
  <si>
    <t>ポケモン検索画面実装</t>
  </si>
  <si>
    <t>名前と図鑑番号とタイプの検索フォームを作成する</t>
  </si>
  <si>
    <t>ポケモン検索結果画面実装</t>
  </si>
  <si>
    <t>検索結果の画像と名前とタイプを一覧表示する</t>
  </si>
  <si>
    <t>ポケモン詳細画面実装</t>
  </si>
  <si>
    <t>図鑑番号と画像とタイプと種族値などを表示する</t>
  </si>
  <si>
    <t>ボックス一覧画面実装</t>
  </si>
  <si>
    <t>捕まえたポケモンの一覧を表示する</t>
  </si>
  <si>
    <t>ボックス登録画面実装</t>
  </si>
  <si>
    <t>捕まえたポケモンの追加フォームを作成する</t>
  </si>
  <si>
    <t>ボックス詳細画面実装</t>
  </si>
  <si>
    <t>登録済みポケモンの詳細を表示する</t>
  </si>
  <si>
    <t>ボックス編集削除画面実装</t>
  </si>
  <si>
    <t>登録済みポケモンの変更と削除を実装する</t>
  </si>
  <si>
    <t>ボックス検索機能実装</t>
  </si>
  <si>
    <t>名前と図鑑番号とタイプで絞り込み検索する</t>
  </si>
  <si>
    <t>パーティ一覧画面実装</t>
  </si>
  <si>
    <t>パーティ登録済みポケモンを表示する</t>
  </si>
  <si>
    <t>パーティ登録変更画面実装</t>
  </si>
  <si>
    <t>ボックスからの選択と入れ替えと削除を実装する</t>
  </si>
  <si>
    <t>タイプ相性表画面実装</t>
  </si>
  <si>
    <t>タイプ相性を画面に表示する</t>
  </si>
  <si>
    <t>画面アクセス制御実装</t>
  </si>
  <si>
    <t>未ログイン時の画面アクセスを制限する</t>
  </si>
  <si>
    <t>スマートフォン表示調整</t>
  </si>
  <si>
    <t>スマートフォンで操作しやすいレイアウトにする</t>
  </si>
  <si>
    <t>共通</t>
  </si>
  <si>
    <t>エラーメッセージ表示実装</t>
  </si>
  <si>
    <t>入力エラーと通信エラーとデータなし表示を統一する</t>
  </si>
  <si>
    <t>FrontendとBackend結合</t>
  </si>
  <si>
    <t>全画面と各APIを接続して一連の操作を確認する</t>
  </si>
  <si>
    <t>テスト</t>
  </si>
  <si>
    <t>準備</t>
  </si>
  <si>
    <t>テストケース作成</t>
  </si>
  <si>
    <t>正常系と異常系のテスト項目を整理する</t>
  </si>
  <si>
    <t>単体テスト</t>
  </si>
  <si>
    <t>認証APIテスト</t>
  </si>
  <si>
    <t>API14とAPI15とAPI16をテストする</t>
  </si>
  <si>
    <t>図鑑APIテスト</t>
  </si>
  <si>
    <t>API1とAPI2とAPI12をテストする</t>
  </si>
  <si>
    <t>ボックスAPIテスト</t>
  </si>
  <si>
    <t>API3からAPI8をテストする</t>
  </si>
  <si>
    <t>パーティAPIテスト</t>
  </si>
  <si>
    <t>API9からAPI11とAPI13をテストする</t>
  </si>
  <si>
    <t>結合テスト</t>
  </si>
  <si>
    <t>ログイン画面結合テスト</t>
  </si>
  <si>
    <t>登録とログインとログアウトと画面遷移を確認する</t>
  </si>
  <si>
    <t>図鑑画面結合テスト</t>
  </si>
  <si>
    <t>検索と詳細表示と外部API連携を確認する</t>
  </si>
  <si>
    <t>ボックス画面結合テスト</t>
  </si>
  <si>
    <t>一覧と登録と検索と更新と削除を確認する</t>
  </si>
  <si>
    <t>パーティと相性表の結合テスト</t>
  </si>
  <si>
    <t>パーティ操作とタイプ相性表表示を確認する</t>
  </si>
  <si>
    <t>異常系テスト</t>
  </si>
  <si>
    <t>入力認証通信エラーテスト</t>
  </si>
  <si>
    <t>不正入力と認証失敗とPokeAPI通信失敗を確認する</t>
  </si>
  <si>
    <t>セキュリティテスト</t>
  </si>
  <si>
    <t>ユーザーデータ分離確認</t>
  </si>
  <si>
    <t>他ユーザーのボックスとパーティにアクセスできないことを確認する</t>
  </si>
  <si>
    <t>総合テスト</t>
  </si>
  <si>
    <t>スマートフォン操作テスト</t>
  </si>
  <si>
    <t>Chromeで画面崩れと操作性を確認する</t>
  </si>
  <si>
    <t>修正</t>
  </si>
  <si>
    <t>不具合修正と再テスト</t>
  </si>
  <si>
    <t>検出した不具合を修正して再確認する</t>
  </si>
  <si>
    <t>受入テスト</t>
  </si>
  <si>
    <t>Must機能の受入確認</t>
  </si>
  <si>
    <t>要件定義書の受入条件を満たすか確認する</t>
  </si>
  <si>
    <t>デプロイ</t>
  </si>
  <si>
    <t>環境設計</t>
  </si>
  <si>
    <t>AWS公開構成確定</t>
  </si>
  <si>
    <t>FrontendとBackendとDBの公開方法を決定する</t>
  </si>
  <si>
    <t>環境準備</t>
  </si>
  <si>
    <t>AWS環境準備</t>
  </si>
  <si>
    <t>利用サービスとネットワークと権限を設定する</t>
  </si>
  <si>
    <t>Docker</t>
  </si>
  <si>
    <t>本番用Docker設定</t>
  </si>
  <si>
    <t>FrontendとBackendの本番用設定を準備する</t>
  </si>
  <si>
    <t>本番PostgreSQL構築</t>
  </si>
  <si>
    <t>本番DBを作成して接続情報を設定する</t>
  </si>
  <si>
    <t>Backend公開</t>
  </si>
  <si>
    <t>Spring BootをAWS上で実行する</t>
  </si>
  <si>
    <t>Frontend公開</t>
  </si>
  <si>
    <t>Next.jsをAWS上で実行する</t>
  </si>
  <si>
    <t>セキュリティ</t>
  </si>
  <si>
    <t>HTTPSと環境変数設定</t>
  </si>
  <si>
    <t>HTTPSと秘密情報の管理を設定する</t>
  </si>
  <si>
    <t>バックアップ設定</t>
  </si>
  <si>
    <t>DBバックアップと復旧方法を確認する</t>
  </si>
  <si>
    <t>動作確認</t>
  </si>
  <si>
    <t>本番環境結合テスト</t>
  </si>
  <si>
    <t>公開URLからログインと図鑑とボックスとパーティを操作する</t>
  </si>
  <si>
    <t>本番環境不具合修正</t>
  </si>
  <si>
    <t>本番で発生した問題を修正する</t>
  </si>
  <si>
    <t>ドキュメント</t>
  </si>
  <si>
    <t>README整備</t>
  </si>
  <si>
    <t>構成図と技術構成と機能と起動手順を記載する</t>
  </si>
  <si>
    <t>最終確認</t>
  </si>
  <si>
    <t>公開状態とGitHubの確認</t>
  </si>
  <si>
    <t>公開URLとMust機能とGitHubを最終確認する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</si>
</sst>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/d;@"/>
    <numFmt numFmtId="177" formatCode="d\(aaa\)"/>
  </numFmts>
  <fonts count="2">
    <font>
      <sz val="11"/>
      <color theme="1"/>
      <name val="游ゴシック"/>
      <family val="2"/>
      <scheme val="minor"/>
    </font>
    <font>
      <b/>
      <sz val="11"/>
      <color theme="1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/>
    <xf numFmtId="176" fontId="0" fillId="0" borderId="0" xfId="0" applyNumberFormat="1"/>
    <xf numFmtId="0" fontId="1" fillId="0" borderId="0" xfId="0" applyFont="1"/>
    <xf numFmtId="0" fontId="0" fillId="0" borderId="0" xfId="0" applyBorder="1"/>
    <xf numFmtId="177" fontId="0" fillId="0" borderId="0" xfId="0" applyNumberFormat="1" applyBorder="1"/>
    <xf numFmtId="176" fontId="0" fillId="0" borderId="0" xfId="0" applyNumberFormat="1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177" fontId="0" fillId="0" borderId="5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176" fontId="0" fillId="0" borderId="7" xfId="0" applyNumberFormat="1" applyBorder="1"/>
    <xf numFmtId="0" fontId="0" fillId="0" borderId="8" xfId="0" applyBorder="1"/>
  </cellXfs>
  <cellStyles count="1">
    <cellStyle name="標準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7030A0"/>
      </font>
      <fill>
        <patternFill patternType="solid">
          <bgColor rgb="FFE0ABFF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F0"/>
      </font>
      <fill>
        <patternFill patternType="solid">
          <bgColor rgb="FFABFFEA"/>
        </patternFill>
      </fill>
    </dxf>
    <dxf>
      <font>
        <color theme="2" tint="-0.749992370372631"/>
      </font>
      <fill>
        <patternFill patternType="solid">
          <bgColor theme="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7" tint="-0.499984740745262"/>
      </font>
      <fill>
        <patternFill patternType="solid">
          <bgColor theme="7" tint="0.59999389629810485"/>
        </patternFill>
      </fill>
    </dxf>
    <dxf>
      <font>
        <color rgb="FF7030A0"/>
      </font>
      <fill>
        <patternFill patternType="solid">
          <bgColor rgb="FFE0ABFF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70C0"/>
      </font>
      <fill>
        <patternFill patternType="solid">
          <bgColor rgb="FFBDD7EE"/>
        </patternFill>
      </fill>
    </dxf>
    <dxf>
      <font>
        <color rgb="FF7030A0"/>
      </font>
      <fill>
        <patternFill patternType="solid">
          <bgColor rgb="FFE0ABFF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249977111117893"/>
      </font>
      <fill>
        <patternFill patternType="solid">
          <bgColor rgb="FFBDD7EE"/>
        </patternFill>
      </fill>
    </dxf>
    <dxf>
      <font>
        <color theme="2" tint="-0.749992370372631"/>
      </font>
      <fill>
        <patternFill patternType="solid">
          <bgColor theme="2" tint="-9.9978637043366805E-2"/>
        </patternFill>
      </fill>
    </dxf>
  </dxfs>
  <tableStyles count="0" defaultTableStyle="TableStyleMedium2" defaultPivotStyle="PivotStyleMedium9"/>
  <colors>
    <mruColors>
      <color rgb="FFFF4089"/>
      <color rgb="FFFFDEF2"/>
      <color rgb="FFFFC4E1"/>
      <color rgb="FFBDD7EE"/>
      <color rgb="FFABFFEA"/>
      <color rgb="FFE0A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I99"/>
  <sheetViews>
    <sheetView tabSelected="1" workbookViewId="0">
      <pane xSplit="6" ySplit="2" topLeftCell="G3" activePane="bottomRight" state="frozen"/>
      <selection pane="bottomRight" activeCell="BK87" sqref="BK87"/>
      <selection pane="bottomLeft"/>
      <selection pane="topRight"/>
    </sheetView>
  </sheetViews>
  <sheetFormatPr defaultRowHeight="15.75" customHeight="1"/>
  <cols>
    <col min="1" max="1" width="8.5" customWidth="1"/>
    <col min="3" max="3" width="17.625" customWidth="1"/>
    <col min="4" max="4" width="26.625" customWidth="1"/>
    <col min="5" max="5" width="57.75" customWidth="1"/>
    <col min="6" max="6" width="9.375" bestFit="1" customWidth="1"/>
    <col min="7" max="9" width="7.5" bestFit="1" customWidth="1"/>
    <col min="10" max="29" width="7" bestFit="1" customWidth="1"/>
    <col min="30" max="38" width="6" bestFit="1" customWidth="1"/>
    <col min="39" max="59" width="7" bestFit="1" customWidth="1"/>
  </cols>
  <sheetData>
    <row r="1" spans="1:61" s="3" customFormat="1" ht="1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9"/>
    </row>
    <row r="2" spans="1:61" s="1" customFormat="1">
      <c r="A2" s="10"/>
      <c r="B2" s="4"/>
      <c r="C2" s="4"/>
      <c r="D2" s="4"/>
      <c r="E2" s="4"/>
      <c r="F2" s="4"/>
      <c r="G2" s="4"/>
      <c r="H2" s="4"/>
      <c r="I2" s="4"/>
      <c r="J2" s="5">
        <v>46307</v>
      </c>
      <c r="K2" s="5">
        <f>J2+1</f>
        <v>46308</v>
      </c>
      <c r="L2" s="5">
        <f t="shared" ref="L2:BG2" si="0">K2+1</f>
        <v>46309</v>
      </c>
      <c r="M2" s="5">
        <f t="shared" si="0"/>
        <v>46310</v>
      </c>
      <c r="N2" s="5">
        <f t="shared" si="0"/>
        <v>46311</v>
      </c>
      <c r="O2" s="5">
        <f t="shared" si="0"/>
        <v>46312</v>
      </c>
      <c r="P2" s="5">
        <f t="shared" si="0"/>
        <v>46313</v>
      </c>
      <c r="Q2" s="5">
        <f t="shared" si="0"/>
        <v>46314</v>
      </c>
      <c r="R2" s="5">
        <f t="shared" si="0"/>
        <v>46315</v>
      </c>
      <c r="S2" s="5">
        <f t="shared" si="0"/>
        <v>46316</v>
      </c>
      <c r="T2" s="5">
        <f t="shared" si="0"/>
        <v>46317</v>
      </c>
      <c r="U2" s="5">
        <f t="shared" si="0"/>
        <v>46318</v>
      </c>
      <c r="V2" s="5">
        <f t="shared" si="0"/>
        <v>46319</v>
      </c>
      <c r="W2" s="5">
        <f t="shared" si="0"/>
        <v>46320</v>
      </c>
      <c r="X2" s="5">
        <f t="shared" si="0"/>
        <v>46321</v>
      </c>
      <c r="Y2" s="5">
        <f t="shared" si="0"/>
        <v>46322</v>
      </c>
      <c r="Z2" s="5">
        <f t="shared" si="0"/>
        <v>46323</v>
      </c>
      <c r="AA2" s="5">
        <f>Z2+1</f>
        <v>46324</v>
      </c>
      <c r="AB2" s="5">
        <f t="shared" si="0"/>
        <v>46325</v>
      </c>
      <c r="AC2" s="5">
        <f t="shared" si="0"/>
        <v>46326</v>
      </c>
      <c r="AD2" s="5">
        <f t="shared" si="0"/>
        <v>46327</v>
      </c>
      <c r="AE2" s="5">
        <f t="shared" si="0"/>
        <v>46328</v>
      </c>
      <c r="AF2" s="5">
        <f t="shared" si="0"/>
        <v>46329</v>
      </c>
      <c r="AG2" s="5">
        <f t="shared" si="0"/>
        <v>46330</v>
      </c>
      <c r="AH2" s="5">
        <f t="shared" si="0"/>
        <v>46331</v>
      </c>
      <c r="AI2" s="5">
        <f t="shared" si="0"/>
        <v>46332</v>
      </c>
      <c r="AJ2" s="5">
        <f t="shared" si="0"/>
        <v>46333</v>
      </c>
      <c r="AK2" s="5">
        <f t="shared" si="0"/>
        <v>46334</v>
      </c>
      <c r="AL2" s="5">
        <f t="shared" si="0"/>
        <v>46335</v>
      </c>
      <c r="AM2" s="5">
        <f t="shared" si="0"/>
        <v>46336</v>
      </c>
      <c r="AN2" s="5">
        <f t="shared" si="0"/>
        <v>46337</v>
      </c>
      <c r="AO2" s="5">
        <f t="shared" si="0"/>
        <v>46338</v>
      </c>
      <c r="AP2" s="5">
        <f>AO2+1</f>
        <v>46339</v>
      </c>
      <c r="AQ2" s="5">
        <f t="shared" si="0"/>
        <v>46340</v>
      </c>
      <c r="AR2" s="5">
        <f t="shared" si="0"/>
        <v>46341</v>
      </c>
      <c r="AS2" s="5">
        <f t="shared" si="0"/>
        <v>46342</v>
      </c>
      <c r="AT2" s="5">
        <f t="shared" si="0"/>
        <v>46343</v>
      </c>
      <c r="AU2" s="5">
        <f t="shared" si="0"/>
        <v>46344</v>
      </c>
      <c r="AV2" s="5">
        <f t="shared" si="0"/>
        <v>46345</v>
      </c>
      <c r="AW2" s="5">
        <f t="shared" si="0"/>
        <v>46346</v>
      </c>
      <c r="AX2" s="5">
        <f t="shared" si="0"/>
        <v>46347</v>
      </c>
      <c r="AY2" s="5">
        <f t="shared" si="0"/>
        <v>46348</v>
      </c>
      <c r="AZ2" s="5">
        <f t="shared" si="0"/>
        <v>46349</v>
      </c>
      <c r="BA2" s="5">
        <f t="shared" si="0"/>
        <v>46350</v>
      </c>
      <c r="BB2" s="5">
        <f t="shared" si="0"/>
        <v>46351</v>
      </c>
      <c r="BC2" s="5">
        <f t="shared" si="0"/>
        <v>46352</v>
      </c>
      <c r="BD2" s="5">
        <f t="shared" si="0"/>
        <v>46353</v>
      </c>
      <c r="BE2" s="5">
        <f t="shared" si="0"/>
        <v>46354</v>
      </c>
      <c r="BF2" s="5">
        <f>BE2+1</f>
        <v>46355</v>
      </c>
      <c r="BG2" s="11">
        <f t="shared" si="0"/>
        <v>46356</v>
      </c>
    </row>
    <row r="3" spans="1:61">
      <c r="A3" s="10">
        <v>1.1000000000000001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6">
        <v>46307</v>
      </c>
      <c r="H3" s="6">
        <v>46307</v>
      </c>
      <c r="I3" s="4" t="s">
        <v>15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12"/>
      <c r="BH3" s="1"/>
      <c r="BI3" s="1"/>
    </row>
    <row r="4" spans="1:61">
      <c r="A4" s="10">
        <v>1.2</v>
      </c>
      <c r="B4" s="4" t="s">
        <v>10</v>
      </c>
      <c r="C4" s="4" t="s">
        <v>11</v>
      </c>
      <c r="D4" s="4" t="s">
        <v>16</v>
      </c>
      <c r="E4" s="4" t="s">
        <v>17</v>
      </c>
      <c r="F4" s="4" t="s">
        <v>18</v>
      </c>
      <c r="G4" s="6">
        <v>46307</v>
      </c>
      <c r="H4" s="6">
        <v>46307</v>
      </c>
      <c r="I4" s="4" t="s">
        <v>15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12"/>
      <c r="BH4" s="1"/>
      <c r="BI4" s="1"/>
    </row>
    <row r="5" spans="1:61">
      <c r="A5" s="10">
        <v>1.3</v>
      </c>
      <c r="B5" s="4" t="s">
        <v>10</v>
      </c>
      <c r="C5" s="4" t="s">
        <v>11</v>
      </c>
      <c r="D5" s="4" t="s">
        <v>19</v>
      </c>
      <c r="E5" s="4" t="s">
        <v>20</v>
      </c>
      <c r="F5" s="4" t="s">
        <v>21</v>
      </c>
      <c r="G5" s="6">
        <v>46307</v>
      </c>
      <c r="H5" s="6">
        <v>46308</v>
      </c>
      <c r="I5" s="4" t="s">
        <v>15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12"/>
      <c r="BH5" s="1"/>
      <c r="BI5" s="1"/>
    </row>
    <row r="6" spans="1:61">
      <c r="A6" s="10">
        <v>1.4</v>
      </c>
      <c r="B6" s="4" t="s">
        <v>10</v>
      </c>
      <c r="C6" s="4" t="s">
        <v>11</v>
      </c>
      <c r="D6" s="4" t="s">
        <v>22</v>
      </c>
      <c r="E6" s="4" t="s">
        <v>23</v>
      </c>
      <c r="F6" s="4" t="s">
        <v>24</v>
      </c>
      <c r="G6" s="6">
        <v>46308</v>
      </c>
      <c r="H6" s="6">
        <v>46308</v>
      </c>
      <c r="I6" s="4" t="s">
        <v>15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12"/>
      <c r="BH6" s="1"/>
      <c r="BI6" s="1"/>
    </row>
    <row r="7" spans="1:61">
      <c r="A7" s="10">
        <v>1.5</v>
      </c>
      <c r="B7" s="4" t="s">
        <v>10</v>
      </c>
      <c r="C7" s="4" t="s">
        <v>25</v>
      </c>
      <c r="D7" s="4" t="s">
        <v>26</v>
      </c>
      <c r="E7" s="4" t="s">
        <v>27</v>
      </c>
      <c r="F7" s="4" t="s">
        <v>14</v>
      </c>
      <c r="G7" s="6">
        <v>46308</v>
      </c>
      <c r="H7" s="6">
        <v>46308</v>
      </c>
      <c r="I7" s="4" t="s">
        <v>15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12"/>
      <c r="BH7" s="1"/>
      <c r="BI7" s="1"/>
    </row>
    <row r="8" spans="1:61">
      <c r="A8" s="10">
        <v>1.6</v>
      </c>
      <c r="B8" s="4" t="s">
        <v>10</v>
      </c>
      <c r="C8" s="4" t="s">
        <v>25</v>
      </c>
      <c r="D8" s="4" t="s">
        <v>28</v>
      </c>
      <c r="E8" s="4" t="s">
        <v>29</v>
      </c>
      <c r="F8" s="4" t="s">
        <v>14</v>
      </c>
      <c r="G8" s="6">
        <v>46308</v>
      </c>
      <c r="H8" s="6">
        <v>46308</v>
      </c>
      <c r="I8" s="4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12"/>
      <c r="BH8" s="1"/>
      <c r="BI8" s="1"/>
    </row>
    <row r="9" spans="1:61">
      <c r="A9" s="10">
        <v>1.7</v>
      </c>
      <c r="B9" s="4" t="s">
        <v>10</v>
      </c>
      <c r="C9" s="4" t="s">
        <v>25</v>
      </c>
      <c r="D9" s="4" t="s">
        <v>30</v>
      </c>
      <c r="E9" s="4" t="s">
        <v>31</v>
      </c>
      <c r="F9" s="4" t="s">
        <v>14</v>
      </c>
      <c r="G9" s="6">
        <v>46310</v>
      </c>
      <c r="H9" s="6">
        <v>46310</v>
      </c>
      <c r="I9" s="4" t="s">
        <v>15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12"/>
      <c r="BH9" s="1"/>
      <c r="BI9" s="1"/>
    </row>
    <row r="10" spans="1:61">
      <c r="A10" s="10">
        <v>1.8</v>
      </c>
      <c r="B10" s="4" t="s">
        <v>10</v>
      </c>
      <c r="C10" s="4" t="s">
        <v>25</v>
      </c>
      <c r="D10" s="4" t="s">
        <v>32</v>
      </c>
      <c r="E10" s="4" t="s">
        <v>33</v>
      </c>
      <c r="F10" s="4" t="s">
        <v>14</v>
      </c>
      <c r="G10" s="6">
        <v>46310</v>
      </c>
      <c r="H10" s="6">
        <v>46310</v>
      </c>
      <c r="I10" s="4" t="s">
        <v>15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12"/>
      <c r="BH10" s="1"/>
      <c r="BI10" s="1"/>
    </row>
    <row r="11" spans="1:61">
      <c r="A11" s="10">
        <v>1.9</v>
      </c>
      <c r="B11" s="4" t="s">
        <v>10</v>
      </c>
      <c r="C11" s="4" t="s">
        <v>25</v>
      </c>
      <c r="D11" s="4" t="s">
        <v>34</v>
      </c>
      <c r="E11" s="4" t="s">
        <v>35</v>
      </c>
      <c r="F11" s="4" t="s">
        <v>14</v>
      </c>
      <c r="G11" s="6">
        <v>46310</v>
      </c>
      <c r="H11" s="6">
        <v>46310</v>
      </c>
      <c r="I11" s="4" t="s">
        <v>15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12"/>
      <c r="BH11" s="1"/>
      <c r="BI11" s="1"/>
    </row>
    <row r="12" spans="1:61">
      <c r="A12" s="10">
        <v>1.1000000000000001</v>
      </c>
      <c r="B12" s="4" t="s">
        <v>10</v>
      </c>
      <c r="C12" s="4" t="s">
        <v>25</v>
      </c>
      <c r="D12" s="4" t="s">
        <v>36</v>
      </c>
      <c r="E12" s="4" t="s">
        <v>37</v>
      </c>
      <c r="F12" s="4" t="s">
        <v>14</v>
      </c>
      <c r="G12" s="6">
        <v>46311</v>
      </c>
      <c r="H12" s="6">
        <v>46311</v>
      </c>
      <c r="I12" s="4" t="s">
        <v>15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12"/>
      <c r="BH12" s="1"/>
      <c r="BI12" s="1"/>
    </row>
    <row r="13" spans="1:61">
      <c r="A13" s="10">
        <v>1.1100000000000001</v>
      </c>
      <c r="B13" s="4" t="s">
        <v>10</v>
      </c>
      <c r="C13" s="4" t="s">
        <v>25</v>
      </c>
      <c r="D13" s="4" t="s">
        <v>38</v>
      </c>
      <c r="E13" s="4" t="s">
        <v>39</v>
      </c>
      <c r="F13" s="4" t="s">
        <v>14</v>
      </c>
      <c r="G13" s="6">
        <v>46311</v>
      </c>
      <c r="H13" s="6">
        <v>46311</v>
      </c>
      <c r="I13" s="4" t="s">
        <v>15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12"/>
      <c r="BH13" s="1"/>
      <c r="BI13" s="1"/>
    </row>
    <row r="14" spans="1:61">
      <c r="A14" s="10">
        <v>1.1200000000000001</v>
      </c>
      <c r="B14" s="4" t="s">
        <v>10</v>
      </c>
      <c r="C14" s="4" t="s">
        <v>40</v>
      </c>
      <c r="D14" s="4" t="s">
        <v>41</v>
      </c>
      <c r="E14" s="4" t="s">
        <v>42</v>
      </c>
      <c r="F14" s="4" t="s">
        <v>14</v>
      </c>
      <c r="G14" s="6">
        <v>46311</v>
      </c>
      <c r="H14" s="6">
        <v>46311</v>
      </c>
      <c r="I14" s="4" t="s">
        <v>15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12"/>
      <c r="BH14" s="1"/>
      <c r="BI14" s="1"/>
    </row>
    <row r="15" spans="1:61">
      <c r="A15" s="10">
        <v>1.1299999999999999</v>
      </c>
      <c r="B15" s="4" t="s">
        <v>10</v>
      </c>
      <c r="C15" s="4" t="s">
        <v>40</v>
      </c>
      <c r="D15" s="4" t="s">
        <v>43</v>
      </c>
      <c r="E15" s="4" t="s">
        <v>44</v>
      </c>
      <c r="F15" s="4" t="s">
        <v>14</v>
      </c>
      <c r="G15" s="6">
        <v>46311</v>
      </c>
      <c r="H15" s="6">
        <v>46314</v>
      </c>
      <c r="I15" s="4" t="s">
        <v>15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12"/>
      <c r="BH15" s="1"/>
      <c r="BI15" s="1"/>
    </row>
    <row r="16" spans="1:61">
      <c r="A16" s="10">
        <v>1.1399999999999999</v>
      </c>
      <c r="B16" s="4" t="s">
        <v>10</v>
      </c>
      <c r="C16" s="4" t="s">
        <v>45</v>
      </c>
      <c r="D16" s="4" t="s">
        <v>46</v>
      </c>
      <c r="E16" s="4" t="s">
        <v>47</v>
      </c>
      <c r="F16" s="4" t="s">
        <v>14</v>
      </c>
      <c r="G16" s="6">
        <v>46314</v>
      </c>
      <c r="H16" s="6">
        <v>46314</v>
      </c>
      <c r="I16" s="4" t="s">
        <v>15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12"/>
      <c r="BH16" s="1"/>
      <c r="BI16" s="1"/>
    </row>
    <row r="17" spans="1:61">
      <c r="A17" s="10">
        <v>1.1499999999999999</v>
      </c>
      <c r="B17" s="4" t="s">
        <v>10</v>
      </c>
      <c r="C17" s="4" t="s">
        <v>45</v>
      </c>
      <c r="D17" s="4" t="s">
        <v>48</v>
      </c>
      <c r="E17" s="4" t="s">
        <v>49</v>
      </c>
      <c r="F17" s="4" t="s">
        <v>14</v>
      </c>
      <c r="G17" s="6">
        <v>46314</v>
      </c>
      <c r="H17" s="6">
        <v>46314</v>
      </c>
      <c r="I17" s="4" t="s">
        <v>15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12"/>
      <c r="BH17" s="1"/>
      <c r="BI17" s="1"/>
    </row>
    <row r="18" spans="1:61">
      <c r="A18" s="10">
        <v>1.1599999999999999</v>
      </c>
      <c r="B18" s="4" t="s">
        <v>10</v>
      </c>
      <c r="C18" s="4" t="s">
        <v>45</v>
      </c>
      <c r="D18" s="4" t="s">
        <v>50</v>
      </c>
      <c r="E18" s="4" t="s">
        <v>51</v>
      </c>
      <c r="F18" s="4" t="s">
        <v>14</v>
      </c>
      <c r="G18" s="6">
        <v>46314</v>
      </c>
      <c r="H18" s="6">
        <v>46315</v>
      </c>
      <c r="I18" s="4" t="s">
        <v>15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12"/>
      <c r="BH18" s="1"/>
      <c r="BI18" s="1"/>
    </row>
    <row r="19" spans="1:61">
      <c r="A19" s="10">
        <v>1.17</v>
      </c>
      <c r="B19" s="4" t="s">
        <v>10</v>
      </c>
      <c r="C19" s="4" t="s">
        <v>45</v>
      </c>
      <c r="D19" s="4" t="s">
        <v>52</v>
      </c>
      <c r="E19" s="4" t="s">
        <v>53</v>
      </c>
      <c r="F19" s="4" t="s">
        <v>14</v>
      </c>
      <c r="G19" s="6">
        <v>46314</v>
      </c>
      <c r="H19" s="6">
        <v>46315</v>
      </c>
      <c r="I19" s="4" t="s">
        <v>15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12"/>
      <c r="BH19" s="1"/>
      <c r="BI19" s="1"/>
    </row>
    <row r="20" spans="1:61">
      <c r="A20" s="10">
        <v>1.18</v>
      </c>
      <c r="B20" s="4" t="s">
        <v>10</v>
      </c>
      <c r="C20" s="4" t="s">
        <v>54</v>
      </c>
      <c r="D20" s="4" t="s">
        <v>55</v>
      </c>
      <c r="E20" s="4" t="s">
        <v>56</v>
      </c>
      <c r="F20" s="4" t="s">
        <v>14</v>
      </c>
      <c r="G20" s="6">
        <v>46315</v>
      </c>
      <c r="H20" s="6">
        <v>46315</v>
      </c>
      <c r="I20" s="4" t="s">
        <v>15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12"/>
      <c r="BH20" s="1"/>
      <c r="BI20" s="1"/>
    </row>
    <row r="21" spans="1:61">
      <c r="A21" s="10">
        <v>1.19</v>
      </c>
      <c r="B21" s="4" t="s">
        <v>10</v>
      </c>
      <c r="C21" s="4" t="s">
        <v>57</v>
      </c>
      <c r="D21" s="4" t="s">
        <v>58</v>
      </c>
      <c r="E21" s="4" t="s">
        <v>59</v>
      </c>
      <c r="F21" s="4" t="s">
        <v>14</v>
      </c>
      <c r="G21" s="6">
        <v>46315</v>
      </c>
      <c r="H21" s="6">
        <v>46315</v>
      </c>
      <c r="I21" s="4" t="s">
        <v>15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12"/>
      <c r="BH21" s="1"/>
      <c r="BI21" s="1"/>
    </row>
    <row r="22" spans="1:61">
      <c r="A22" s="10">
        <v>1.2</v>
      </c>
      <c r="B22" s="4" t="s">
        <v>10</v>
      </c>
      <c r="C22" s="4" t="s">
        <v>57</v>
      </c>
      <c r="D22" s="4" t="s">
        <v>60</v>
      </c>
      <c r="E22" s="4" t="s">
        <v>61</v>
      </c>
      <c r="F22" s="4" t="s">
        <v>14</v>
      </c>
      <c r="G22" s="6">
        <v>46315</v>
      </c>
      <c r="H22" s="6">
        <v>46315</v>
      </c>
      <c r="I22" s="4" t="s">
        <v>15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12"/>
      <c r="BH22" s="1"/>
      <c r="BI22" s="1"/>
    </row>
    <row r="23" spans="1:61">
      <c r="A23" s="10">
        <v>2.1</v>
      </c>
      <c r="B23" s="4" t="s">
        <v>62</v>
      </c>
      <c r="C23" s="4" t="s">
        <v>63</v>
      </c>
      <c r="D23" s="4" t="s">
        <v>64</v>
      </c>
      <c r="E23" s="4" t="s">
        <v>65</v>
      </c>
      <c r="F23" s="4" t="s">
        <v>14</v>
      </c>
      <c r="G23" s="6">
        <v>46315</v>
      </c>
      <c r="H23" s="6">
        <v>46315</v>
      </c>
      <c r="I23" s="4" t="s">
        <v>15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12"/>
      <c r="BH23" s="1"/>
      <c r="BI23" s="1"/>
    </row>
    <row r="24" spans="1:61">
      <c r="A24" s="10">
        <v>2.2000000000000002</v>
      </c>
      <c r="B24" s="4" t="s">
        <v>62</v>
      </c>
      <c r="C24" s="4" t="s">
        <v>63</v>
      </c>
      <c r="D24" s="4" t="s">
        <v>66</v>
      </c>
      <c r="E24" s="4" t="s">
        <v>67</v>
      </c>
      <c r="F24" s="4" t="s">
        <v>14</v>
      </c>
      <c r="G24" s="6">
        <v>46317</v>
      </c>
      <c r="H24" s="6">
        <v>46317</v>
      </c>
      <c r="I24" s="4" t="s">
        <v>15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12"/>
      <c r="BH24" s="1"/>
      <c r="BI24" s="1"/>
    </row>
    <row r="25" spans="1:61">
      <c r="A25" s="10">
        <v>2.2999999999999998</v>
      </c>
      <c r="B25" s="4" t="s">
        <v>62</v>
      </c>
      <c r="C25" s="4" t="s">
        <v>63</v>
      </c>
      <c r="D25" s="4" t="s">
        <v>68</v>
      </c>
      <c r="E25" s="4" t="s">
        <v>69</v>
      </c>
      <c r="F25" s="4" t="s">
        <v>14</v>
      </c>
      <c r="G25" s="6">
        <v>46317</v>
      </c>
      <c r="H25" s="6">
        <v>46317</v>
      </c>
      <c r="I25" s="4" t="s">
        <v>15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12"/>
      <c r="BH25" s="1"/>
      <c r="BI25" s="1"/>
    </row>
    <row r="26" spans="1:61">
      <c r="A26" s="10">
        <v>2.4</v>
      </c>
      <c r="B26" s="4" t="s">
        <v>62</v>
      </c>
      <c r="C26" s="4" t="s">
        <v>63</v>
      </c>
      <c r="D26" s="4" t="s">
        <v>70</v>
      </c>
      <c r="E26" s="4" t="s">
        <v>71</v>
      </c>
      <c r="F26" s="4" t="s">
        <v>14</v>
      </c>
      <c r="G26" s="6">
        <v>46317</v>
      </c>
      <c r="H26" s="6">
        <v>46317</v>
      </c>
      <c r="I26" s="4" t="s">
        <v>15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12"/>
      <c r="BH26" s="1"/>
      <c r="BI26" s="1"/>
    </row>
    <row r="27" spans="1:61">
      <c r="A27" s="10">
        <v>2.5</v>
      </c>
      <c r="B27" s="4" t="s">
        <v>62</v>
      </c>
      <c r="C27" s="4" t="s">
        <v>63</v>
      </c>
      <c r="D27" s="4" t="s">
        <v>72</v>
      </c>
      <c r="E27" s="4" t="s">
        <v>73</v>
      </c>
      <c r="F27" s="4" t="s">
        <v>14</v>
      </c>
      <c r="G27" s="6">
        <v>46318</v>
      </c>
      <c r="H27" s="6">
        <v>46318</v>
      </c>
      <c r="I27" s="4" t="s">
        <v>15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12"/>
      <c r="BH27" s="1"/>
      <c r="BI27" s="1"/>
    </row>
    <row r="28" spans="1:61">
      <c r="A28" s="10">
        <v>2.6</v>
      </c>
      <c r="B28" s="4" t="s">
        <v>62</v>
      </c>
      <c r="C28" s="4" t="s">
        <v>74</v>
      </c>
      <c r="D28" s="4" t="s">
        <v>75</v>
      </c>
      <c r="E28" s="4" t="s">
        <v>76</v>
      </c>
      <c r="F28" s="4" t="s">
        <v>14</v>
      </c>
      <c r="G28" s="6">
        <v>46318</v>
      </c>
      <c r="H28" s="6">
        <v>46318</v>
      </c>
      <c r="I28" s="4" t="s">
        <v>15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12"/>
      <c r="BH28" s="1"/>
      <c r="BI28" s="1"/>
    </row>
    <row r="29" spans="1:61">
      <c r="A29" s="10">
        <v>2.7</v>
      </c>
      <c r="B29" s="4" t="s">
        <v>62</v>
      </c>
      <c r="C29" s="4" t="s">
        <v>77</v>
      </c>
      <c r="D29" s="4" t="s">
        <v>78</v>
      </c>
      <c r="E29" s="4" t="s">
        <v>79</v>
      </c>
      <c r="F29" s="4" t="s">
        <v>14</v>
      </c>
      <c r="G29" s="6">
        <v>46318</v>
      </c>
      <c r="H29" s="6">
        <v>46318</v>
      </c>
      <c r="I29" s="4" t="s">
        <v>15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12"/>
      <c r="BH29" s="1"/>
      <c r="BI29" s="1"/>
    </row>
    <row r="30" spans="1:61">
      <c r="A30" s="10">
        <v>2.8</v>
      </c>
      <c r="B30" s="4" t="s">
        <v>62</v>
      </c>
      <c r="C30" s="4" t="s">
        <v>77</v>
      </c>
      <c r="D30" s="4" t="s">
        <v>80</v>
      </c>
      <c r="E30" s="4" t="s">
        <v>81</v>
      </c>
      <c r="F30" s="4" t="s">
        <v>14</v>
      </c>
      <c r="G30" s="6">
        <v>46321</v>
      </c>
      <c r="H30" s="6">
        <v>46321</v>
      </c>
      <c r="I30" s="4" t="s">
        <v>15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12"/>
      <c r="BH30" s="1"/>
      <c r="BI30" s="1"/>
    </row>
    <row r="31" spans="1:61">
      <c r="A31" s="10">
        <v>2.9</v>
      </c>
      <c r="B31" s="4" t="s">
        <v>62</v>
      </c>
      <c r="C31" s="4" t="s">
        <v>77</v>
      </c>
      <c r="D31" s="4" t="s">
        <v>82</v>
      </c>
      <c r="E31" s="4" t="s">
        <v>83</v>
      </c>
      <c r="F31" s="4" t="s">
        <v>14</v>
      </c>
      <c r="G31" s="6">
        <v>46321</v>
      </c>
      <c r="H31" s="6">
        <v>46321</v>
      </c>
      <c r="I31" s="4" t="s">
        <v>15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12"/>
      <c r="BH31" s="1"/>
      <c r="BI31" s="1"/>
    </row>
    <row r="32" spans="1:61">
      <c r="A32" s="10">
        <v>2.1</v>
      </c>
      <c r="B32" s="4" t="s">
        <v>62</v>
      </c>
      <c r="C32" s="4" t="s">
        <v>77</v>
      </c>
      <c r="D32" s="4" t="s">
        <v>84</v>
      </c>
      <c r="E32" s="4" t="s">
        <v>85</v>
      </c>
      <c r="F32" s="4" t="s">
        <v>14</v>
      </c>
      <c r="G32" s="6">
        <v>46321</v>
      </c>
      <c r="H32" s="6">
        <v>46321</v>
      </c>
      <c r="I32" s="4" t="s">
        <v>15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12"/>
      <c r="BH32" s="1"/>
      <c r="BI32" s="1"/>
    </row>
    <row r="33" spans="1:61">
      <c r="A33" s="10">
        <v>2.11</v>
      </c>
      <c r="B33" s="4" t="s">
        <v>62</v>
      </c>
      <c r="C33" s="4" t="s">
        <v>77</v>
      </c>
      <c r="D33" s="4" t="s">
        <v>86</v>
      </c>
      <c r="E33" s="4" t="s">
        <v>87</v>
      </c>
      <c r="F33" s="4" t="s">
        <v>14</v>
      </c>
      <c r="G33" s="6">
        <v>46321</v>
      </c>
      <c r="H33" s="6">
        <v>46321</v>
      </c>
      <c r="I33" s="4" t="s">
        <v>15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12"/>
      <c r="BH33" s="1"/>
      <c r="BI33" s="1"/>
    </row>
    <row r="34" spans="1:61">
      <c r="A34" s="10">
        <v>2.12</v>
      </c>
      <c r="B34" s="4" t="s">
        <v>62</v>
      </c>
      <c r="C34" s="4" t="s">
        <v>88</v>
      </c>
      <c r="D34" s="4" t="s">
        <v>89</v>
      </c>
      <c r="E34" s="4" t="s">
        <v>90</v>
      </c>
      <c r="F34" s="4" t="s">
        <v>14</v>
      </c>
      <c r="G34" s="6">
        <v>46322</v>
      </c>
      <c r="H34" s="6">
        <v>46322</v>
      </c>
      <c r="I34" s="4" t="s">
        <v>15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12"/>
      <c r="BH34" s="1"/>
      <c r="BI34" s="1"/>
    </row>
    <row r="35" spans="1:61">
      <c r="A35" s="10">
        <v>2.13</v>
      </c>
      <c r="B35" s="4" t="s">
        <v>62</v>
      </c>
      <c r="C35" s="4" t="s">
        <v>88</v>
      </c>
      <c r="D35" s="4" t="s">
        <v>91</v>
      </c>
      <c r="E35" s="4" t="s">
        <v>92</v>
      </c>
      <c r="F35" s="4" t="s">
        <v>14</v>
      </c>
      <c r="G35" s="6">
        <v>46322</v>
      </c>
      <c r="H35" s="6">
        <v>46324</v>
      </c>
      <c r="I35" s="4" t="s">
        <v>15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12"/>
      <c r="BH35" s="1"/>
      <c r="BI35" s="1"/>
    </row>
    <row r="36" spans="1:61">
      <c r="A36" s="10">
        <v>2.14</v>
      </c>
      <c r="B36" s="4" t="s">
        <v>62</v>
      </c>
      <c r="C36" s="4" t="s">
        <v>88</v>
      </c>
      <c r="D36" s="4" t="s">
        <v>93</v>
      </c>
      <c r="E36" s="4" t="s">
        <v>94</v>
      </c>
      <c r="F36" s="4" t="s">
        <v>14</v>
      </c>
      <c r="G36" s="6">
        <v>46324</v>
      </c>
      <c r="H36" s="6">
        <v>46324</v>
      </c>
      <c r="I36" s="4" t="s">
        <v>15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12"/>
      <c r="BH36" s="1"/>
      <c r="BI36" s="1"/>
    </row>
    <row r="37" spans="1:61">
      <c r="A37" s="10">
        <v>2.15</v>
      </c>
      <c r="B37" s="4" t="s">
        <v>62</v>
      </c>
      <c r="C37" s="4" t="s">
        <v>77</v>
      </c>
      <c r="D37" s="4" t="s">
        <v>95</v>
      </c>
      <c r="E37" s="4" t="s">
        <v>96</v>
      </c>
      <c r="F37" s="4" t="s">
        <v>14</v>
      </c>
      <c r="G37" s="6">
        <v>46324</v>
      </c>
      <c r="H37" s="6">
        <v>46325</v>
      </c>
      <c r="I37" s="4" t="s">
        <v>15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12"/>
      <c r="BH37" s="1"/>
      <c r="BI37" s="1"/>
    </row>
    <row r="38" spans="1:61">
      <c r="A38" s="10">
        <v>2.16</v>
      </c>
      <c r="B38" s="4" t="s">
        <v>62</v>
      </c>
      <c r="C38" s="4" t="s">
        <v>88</v>
      </c>
      <c r="D38" s="4" t="s">
        <v>97</v>
      </c>
      <c r="E38" s="4" t="s">
        <v>98</v>
      </c>
      <c r="F38" s="4" t="s">
        <v>14</v>
      </c>
      <c r="G38" s="6">
        <v>46325</v>
      </c>
      <c r="H38" s="6">
        <v>46328</v>
      </c>
      <c r="I38" s="4" t="s">
        <v>15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12"/>
      <c r="BH38" s="1"/>
      <c r="BI38" s="1"/>
    </row>
    <row r="39" spans="1:61">
      <c r="A39" s="10">
        <v>2.17</v>
      </c>
      <c r="B39" s="4" t="s">
        <v>62</v>
      </c>
      <c r="C39" s="4" t="s">
        <v>88</v>
      </c>
      <c r="D39" s="4" t="s">
        <v>99</v>
      </c>
      <c r="E39" s="4" t="s">
        <v>100</v>
      </c>
      <c r="F39" s="4" t="s">
        <v>14</v>
      </c>
      <c r="G39" s="6">
        <v>46328</v>
      </c>
      <c r="H39" s="6">
        <v>46328</v>
      </c>
      <c r="I39" s="4" t="s">
        <v>15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12"/>
      <c r="BH39" s="1"/>
      <c r="BI39" s="1"/>
    </row>
    <row r="40" spans="1:61">
      <c r="A40" s="10">
        <v>2.1800000000000002</v>
      </c>
      <c r="B40" s="4" t="s">
        <v>62</v>
      </c>
      <c r="C40" s="4" t="s">
        <v>88</v>
      </c>
      <c r="D40" s="4" t="s">
        <v>101</v>
      </c>
      <c r="E40" s="4" t="s">
        <v>102</v>
      </c>
      <c r="F40" s="4" t="s">
        <v>14</v>
      </c>
      <c r="G40" s="6">
        <v>46328</v>
      </c>
      <c r="H40" s="6">
        <v>46329</v>
      </c>
      <c r="I40" s="4" t="s">
        <v>15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12"/>
      <c r="BH40" s="1"/>
      <c r="BI40" s="1"/>
    </row>
    <row r="41" spans="1:61">
      <c r="A41" s="10">
        <v>2.19</v>
      </c>
      <c r="B41" s="4" t="s">
        <v>62</v>
      </c>
      <c r="C41" s="4" t="s">
        <v>88</v>
      </c>
      <c r="D41" s="4" t="s">
        <v>103</v>
      </c>
      <c r="E41" s="4" t="s">
        <v>104</v>
      </c>
      <c r="F41" s="4" t="s">
        <v>14</v>
      </c>
      <c r="G41" s="6">
        <v>46329</v>
      </c>
      <c r="H41" s="6">
        <v>46329</v>
      </c>
      <c r="I41" s="4" t="s">
        <v>15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12"/>
      <c r="BH41" s="1"/>
      <c r="BI41" s="1"/>
    </row>
    <row r="42" spans="1:61">
      <c r="A42" s="10">
        <v>2.2000000000000002</v>
      </c>
      <c r="B42" s="4" t="s">
        <v>62</v>
      </c>
      <c r="C42" s="4" t="s">
        <v>88</v>
      </c>
      <c r="D42" s="4" t="s">
        <v>105</v>
      </c>
      <c r="E42" s="4" t="s">
        <v>106</v>
      </c>
      <c r="F42" s="4" t="s">
        <v>14</v>
      </c>
      <c r="G42" s="6">
        <v>46331</v>
      </c>
      <c r="H42" s="6">
        <v>46331</v>
      </c>
      <c r="I42" s="4" t="s">
        <v>15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12"/>
      <c r="BH42" s="1"/>
      <c r="BI42" s="1"/>
    </row>
    <row r="43" spans="1:61">
      <c r="A43" s="10">
        <v>2.21</v>
      </c>
      <c r="B43" s="4" t="s">
        <v>62</v>
      </c>
      <c r="C43" s="4" t="s">
        <v>88</v>
      </c>
      <c r="D43" s="4" t="s">
        <v>107</v>
      </c>
      <c r="E43" s="4" t="s">
        <v>108</v>
      </c>
      <c r="F43" s="4" t="s">
        <v>14</v>
      </c>
      <c r="G43" s="6">
        <v>46331</v>
      </c>
      <c r="H43" s="6">
        <v>46331</v>
      </c>
      <c r="I43" s="4" t="s">
        <v>15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12"/>
      <c r="BH43" s="1"/>
      <c r="BI43" s="1"/>
    </row>
    <row r="44" spans="1:61">
      <c r="A44" s="10">
        <v>2.2200000000000002</v>
      </c>
      <c r="B44" s="4" t="s">
        <v>62</v>
      </c>
      <c r="C44" s="4" t="s">
        <v>88</v>
      </c>
      <c r="D44" s="4" t="s">
        <v>109</v>
      </c>
      <c r="E44" s="4" t="s">
        <v>110</v>
      </c>
      <c r="F44" s="4" t="s">
        <v>14</v>
      </c>
      <c r="G44" s="6">
        <v>46331</v>
      </c>
      <c r="H44" s="6">
        <v>46331</v>
      </c>
      <c r="I44" s="4" t="s">
        <v>15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12"/>
      <c r="BH44" s="1"/>
      <c r="BI44" s="1"/>
    </row>
    <row r="45" spans="1:61">
      <c r="A45" s="10">
        <v>2.23</v>
      </c>
      <c r="B45" s="4" t="s">
        <v>62</v>
      </c>
      <c r="C45" s="4" t="s">
        <v>88</v>
      </c>
      <c r="D45" s="4" t="s">
        <v>111</v>
      </c>
      <c r="E45" s="4" t="s">
        <v>112</v>
      </c>
      <c r="F45" s="4" t="s">
        <v>14</v>
      </c>
      <c r="G45" s="6">
        <v>46332</v>
      </c>
      <c r="H45" s="6">
        <v>46332</v>
      </c>
      <c r="I45" s="4" t="s">
        <v>15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12"/>
      <c r="BH45" s="1"/>
      <c r="BI45" s="1"/>
    </row>
    <row r="46" spans="1:61">
      <c r="A46" s="10">
        <v>2.2400000000000002</v>
      </c>
      <c r="B46" s="4" t="s">
        <v>62</v>
      </c>
      <c r="C46" s="4" t="s">
        <v>88</v>
      </c>
      <c r="D46" s="4" t="s">
        <v>113</v>
      </c>
      <c r="E46" s="4" t="s">
        <v>114</v>
      </c>
      <c r="F46" s="4" t="s">
        <v>14</v>
      </c>
      <c r="G46" s="6">
        <v>46332</v>
      </c>
      <c r="H46" s="6">
        <v>46332</v>
      </c>
      <c r="I46" s="4" t="s">
        <v>15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12"/>
      <c r="BH46" s="1"/>
      <c r="BI46" s="1"/>
    </row>
    <row r="47" spans="1:61">
      <c r="A47" s="10">
        <v>2.25</v>
      </c>
      <c r="B47" s="4" t="s">
        <v>62</v>
      </c>
      <c r="C47" s="4" t="s">
        <v>88</v>
      </c>
      <c r="D47" s="4" t="s">
        <v>115</v>
      </c>
      <c r="E47" s="4" t="s">
        <v>116</v>
      </c>
      <c r="F47" s="4" t="s">
        <v>14</v>
      </c>
      <c r="G47" s="6">
        <v>46335</v>
      </c>
      <c r="H47" s="6">
        <v>46335</v>
      </c>
      <c r="I47" s="4" t="s">
        <v>15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12"/>
      <c r="BH47" s="1"/>
      <c r="BI47" s="1"/>
    </row>
    <row r="48" spans="1:61">
      <c r="A48" s="10">
        <v>2.2599999999999998</v>
      </c>
      <c r="B48" s="4" t="s">
        <v>62</v>
      </c>
      <c r="C48" s="4" t="s">
        <v>88</v>
      </c>
      <c r="D48" s="4" t="s">
        <v>117</v>
      </c>
      <c r="E48" s="4" t="s">
        <v>118</v>
      </c>
      <c r="F48" s="4" t="s">
        <v>14</v>
      </c>
      <c r="G48" s="6">
        <v>46335</v>
      </c>
      <c r="H48" s="6">
        <v>46335</v>
      </c>
      <c r="I48" s="4" t="s">
        <v>15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12"/>
      <c r="BH48" s="1"/>
      <c r="BI48" s="1"/>
    </row>
    <row r="49" spans="1:61">
      <c r="A49" s="10">
        <v>2.27</v>
      </c>
      <c r="B49" s="4" t="s">
        <v>62</v>
      </c>
      <c r="C49" s="4" t="s">
        <v>88</v>
      </c>
      <c r="D49" s="4" t="s">
        <v>119</v>
      </c>
      <c r="E49" s="4" t="s">
        <v>120</v>
      </c>
      <c r="F49" s="4" t="s">
        <v>14</v>
      </c>
      <c r="G49" s="6">
        <v>46336</v>
      </c>
      <c r="H49" s="6">
        <v>46336</v>
      </c>
      <c r="I49" s="4" t="s">
        <v>15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12"/>
      <c r="BH49" s="1"/>
      <c r="BI49" s="1"/>
    </row>
    <row r="50" spans="1:61">
      <c r="A50" s="10">
        <v>2.2799999999999998</v>
      </c>
      <c r="B50" s="4" t="s">
        <v>62</v>
      </c>
      <c r="C50" s="4" t="s">
        <v>88</v>
      </c>
      <c r="D50" s="4" t="s">
        <v>121</v>
      </c>
      <c r="E50" s="4" t="s">
        <v>122</v>
      </c>
      <c r="F50" s="4" t="s">
        <v>14</v>
      </c>
      <c r="G50" s="6">
        <v>46336</v>
      </c>
      <c r="H50" s="6">
        <v>46336</v>
      </c>
      <c r="I50" s="4" t="s">
        <v>15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12"/>
      <c r="BH50" s="1"/>
      <c r="BI50" s="1"/>
    </row>
    <row r="51" spans="1:61">
      <c r="A51" s="10">
        <v>2.29</v>
      </c>
      <c r="B51" s="4" t="s">
        <v>62</v>
      </c>
      <c r="C51" s="4" t="s">
        <v>123</v>
      </c>
      <c r="D51" s="4" t="s">
        <v>124</v>
      </c>
      <c r="E51" s="4" t="s">
        <v>125</v>
      </c>
      <c r="F51" s="4" t="s">
        <v>14</v>
      </c>
      <c r="G51" s="6">
        <v>46321</v>
      </c>
      <c r="H51" s="6">
        <v>46322</v>
      </c>
      <c r="I51" s="4" t="s">
        <v>15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12"/>
      <c r="BH51" s="1"/>
      <c r="BI51" s="1"/>
    </row>
    <row r="52" spans="1:61">
      <c r="A52" s="10">
        <v>2.2999999999999998</v>
      </c>
      <c r="B52" s="4" t="s">
        <v>62</v>
      </c>
      <c r="C52" s="4" t="s">
        <v>123</v>
      </c>
      <c r="D52" s="4" t="s">
        <v>126</v>
      </c>
      <c r="E52" s="4" t="s">
        <v>127</v>
      </c>
      <c r="F52" s="4" t="s">
        <v>14</v>
      </c>
      <c r="G52" s="6">
        <v>46324</v>
      </c>
      <c r="H52" s="6">
        <v>46325</v>
      </c>
      <c r="I52" s="4" t="s">
        <v>15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12"/>
      <c r="BH52" s="1"/>
      <c r="BI52" s="1"/>
    </row>
    <row r="53" spans="1:61">
      <c r="A53" s="10">
        <v>2.31</v>
      </c>
      <c r="B53" s="4" t="s">
        <v>62</v>
      </c>
      <c r="C53" s="4" t="s">
        <v>123</v>
      </c>
      <c r="D53" s="4" t="s">
        <v>128</v>
      </c>
      <c r="E53" s="4" t="s">
        <v>129</v>
      </c>
      <c r="F53" s="4" t="s">
        <v>14</v>
      </c>
      <c r="G53" s="6">
        <v>46325</v>
      </c>
      <c r="H53" s="6">
        <v>46328</v>
      </c>
      <c r="I53" s="4" t="s">
        <v>15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12"/>
      <c r="BH53" s="1"/>
      <c r="BI53" s="1"/>
    </row>
    <row r="54" spans="1:61">
      <c r="A54" s="10">
        <v>2.3199999999999998</v>
      </c>
      <c r="B54" s="4" t="s">
        <v>62</v>
      </c>
      <c r="C54" s="4" t="s">
        <v>123</v>
      </c>
      <c r="D54" s="4" t="s">
        <v>130</v>
      </c>
      <c r="E54" s="4" t="s">
        <v>131</v>
      </c>
      <c r="F54" s="4" t="s">
        <v>14</v>
      </c>
      <c r="G54" s="6">
        <v>46328</v>
      </c>
      <c r="H54" s="6">
        <v>46329</v>
      </c>
      <c r="I54" s="4" t="s">
        <v>15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12"/>
      <c r="BH54" s="1"/>
      <c r="BI54" s="1"/>
    </row>
    <row r="55" spans="1:61">
      <c r="A55" s="10">
        <v>2.33</v>
      </c>
      <c r="B55" s="4" t="s">
        <v>62</v>
      </c>
      <c r="C55" s="4" t="s">
        <v>123</v>
      </c>
      <c r="D55" s="4" t="s">
        <v>132</v>
      </c>
      <c r="E55" s="4" t="s">
        <v>133</v>
      </c>
      <c r="F55" s="4" t="s">
        <v>14</v>
      </c>
      <c r="G55" s="6">
        <v>46329</v>
      </c>
      <c r="H55" s="6">
        <v>46329</v>
      </c>
      <c r="I55" s="4" t="s">
        <v>15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12"/>
      <c r="BH55" s="1"/>
      <c r="BI55" s="1"/>
    </row>
    <row r="56" spans="1:61">
      <c r="A56" s="10">
        <v>2.34</v>
      </c>
      <c r="B56" s="4" t="s">
        <v>62</v>
      </c>
      <c r="C56" s="4" t="s">
        <v>123</v>
      </c>
      <c r="D56" s="4" t="s">
        <v>134</v>
      </c>
      <c r="E56" s="4" t="s">
        <v>135</v>
      </c>
      <c r="F56" s="4" t="s">
        <v>14</v>
      </c>
      <c r="G56" s="6">
        <v>46331</v>
      </c>
      <c r="H56" s="6">
        <v>46331</v>
      </c>
      <c r="I56" s="4" t="s">
        <v>15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12"/>
      <c r="BH56" s="1"/>
      <c r="BI56" s="1"/>
    </row>
    <row r="57" spans="1:61">
      <c r="A57" s="10">
        <v>2.35</v>
      </c>
      <c r="B57" s="4" t="s">
        <v>62</v>
      </c>
      <c r="C57" s="4" t="s">
        <v>123</v>
      </c>
      <c r="D57" s="4" t="s">
        <v>136</v>
      </c>
      <c r="E57" s="4" t="s">
        <v>137</v>
      </c>
      <c r="F57" s="4" t="s">
        <v>14</v>
      </c>
      <c r="G57" s="6">
        <v>46331</v>
      </c>
      <c r="H57" s="6">
        <v>46332</v>
      </c>
      <c r="I57" s="4" t="s">
        <v>15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12"/>
      <c r="BH57" s="1"/>
      <c r="BI57" s="1"/>
    </row>
    <row r="58" spans="1:61">
      <c r="A58" s="10">
        <v>2.36</v>
      </c>
      <c r="B58" s="4" t="s">
        <v>62</v>
      </c>
      <c r="C58" s="4" t="s">
        <v>123</v>
      </c>
      <c r="D58" s="4" t="s">
        <v>138</v>
      </c>
      <c r="E58" s="4" t="s">
        <v>139</v>
      </c>
      <c r="F58" s="4" t="s">
        <v>14</v>
      </c>
      <c r="G58" s="6">
        <v>46332</v>
      </c>
      <c r="H58" s="6">
        <v>46332</v>
      </c>
      <c r="I58" s="4" t="s">
        <v>15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12"/>
      <c r="BH58" s="1"/>
      <c r="BI58" s="1"/>
    </row>
    <row r="59" spans="1:61">
      <c r="A59" s="10">
        <v>2.37</v>
      </c>
      <c r="B59" s="4" t="s">
        <v>62</v>
      </c>
      <c r="C59" s="4" t="s">
        <v>123</v>
      </c>
      <c r="D59" s="4" t="s">
        <v>140</v>
      </c>
      <c r="E59" s="4" t="s">
        <v>141</v>
      </c>
      <c r="F59" s="4" t="s">
        <v>14</v>
      </c>
      <c r="G59" s="6">
        <v>46335</v>
      </c>
      <c r="H59" s="6">
        <v>46335</v>
      </c>
      <c r="I59" s="4" t="s">
        <v>15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12"/>
      <c r="BH59" s="1"/>
      <c r="BI59" s="1"/>
    </row>
    <row r="60" spans="1:61">
      <c r="A60" s="10">
        <v>2.38</v>
      </c>
      <c r="B60" s="4" t="s">
        <v>62</v>
      </c>
      <c r="C60" s="4" t="s">
        <v>123</v>
      </c>
      <c r="D60" s="4" t="s">
        <v>142</v>
      </c>
      <c r="E60" s="4" t="s">
        <v>143</v>
      </c>
      <c r="F60" s="4" t="s">
        <v>14</v>
      </c>
      <c r="G60" s="6">
        <v>46335</v>
      </c>
      <c r="H60" s="6">
        <v>46336</v>
      </c>
      <c r="I60" s="4" t="s">
        <v>15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12"/>
      <c r="BH60" s="1"/>
      <c r="BI60" s="1"/>
    </row>
    <row r="61" spans="1:61">
      <c r="A61" s="10">
        <v>2.39</v>
      </c>
      <c r="B61" s="4" t="s">
        <v>62</v>
      </c>
      <c r="C61" s="4" t="s">
        <v>123</v>
      </c>
      <c r="D61" s="4" t="s">
        <v>144</v>
      </c>
      <c r="E61" s="4" t="s">
        <v>145</v>
      </c>
      <c r="F61" s="4" t="s">
        <v>14</v>
      </c>
      <c r="G61" s="6">
        <v>46336</v>
      </c>
      <c r="H61" s="6">
        <v>46336</v>
      </c>
      <c r="I61" s="4" t="s">
        <v>15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12"/>
      <c r="BH61" s="1"/>
      <c r="BI61" s="1"/>
    </row>
    <row r="62" spans="1:61">
      <c r="A62" s="10">
        <v>2.4</v>
      </c>
      <c r="B62" s="4" t="s">
        <v>62</v>
      </c>
      <c r="C62" s="4" t="s">
        <v>123</v>
      </c>
      <c r="D62" s="4" t="s">
        <v>146</v>
      </c>
      <c r="E62" s="4" t="s">
        <v>147</v>
      </c>
      <c r="F62" s="4" t="s">
        <v>14</v>
      </c>
      <c r="G62" s="6">
        <v>46338</v>
      </c>
      <c r="H62" s="6">
        <v>46338</v>
      </c>
      <c r="I62" s="4" t="s">
        <v>15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12"/>
      <c r="BH62" s="1"/>
      <c r="BI62" s="1"/>
    </row>
    <row r="63" spans="1:61">
      <c r="A63" s="10">
        <v>2.41</v>
      </c>
      <c r="B63" s="4" t="s">
        <v>62</v>
      </c>
      <c r="C63" s="4" t="s">
        <v>123</v>
      </c>
      <c r="D63" s="4" t="s">
        <v>148</v>
      </c>
      <c r="E63" s="4" t="s">
        <v>149</v>
      </c>
      <c r="F63" s="4" t="s">
        <v>14</v>
      </c>
      <c r="G63" s="6">
        <v>46338</v>
      </c>
      <c r="H63" s="6">
        <v>46338</v>
      </c>
      <c r="I63" s="4" t="s">
        <v>15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12"/>
      <c r="BH63" s="1"/>
      <c r="BI63" s="1"/>
    </row>
    <row r="64" spans="1:61">
      <c r="A64" s="10">
        <v>2.42</v>
      </c>
      <c r="B64" s="4" t="s">
        <v>62</v>
      </c>
      <c r="C64" s="4" t="s">
        <v>123</v>
      </c>
      <c r="D64" s="4" t="s">
        <v>150</v>
      </c>
      <c r="E64" s="4" t="s">
        <v>151</v>
      </c>
      <c r="F64" s="4" t="s">
        <v>14</v>
      </c>
      <c r="G64" s="6">
        <v>46338</v>
      </c>
      <c r="H64" s="6">
        <v>46339</v>
      </c>
      <c r="I64" s="4" t="s">
        <v>15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12"/>
      <c r="BH64" s="1"/>
      <c r="BI64" s="1"/>
    </row>
    <row r="65" spans="1:61">
      <c r="A65" s="10">
        <v>2.4300000000000002</v>
      </c>
      <c r="B65" s="4" t="s">
        <v>62</v>
      </c>
      <c r="C65" s="4" t="s">
        <v>123</v>
      </c>
      <c r="D65" s="4" t="s">
        <v>152</v>
      </c>
      <c r="E65" s="4" t="s">
        <v>153</v>
      </c>
      <c r="F65" s="4" t="s">
        <v>14</v>
      </c>
      <c r="G65" s="6">
        <v>46339</v>
      </c>
      <c r="H65" s="6">
        <v>46339</v>
      </c>
      <c r="I65" s="4" t="s">
        <v>15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12"/>
      <c r="BH65" s="1"/>
      <c r="BI65" s="1"/>
    </row>
    <row r="66" spans="1:61">
      <c r="A66" s="10">
        <v>2.44</v>
      </c>
      <c r="B66" s="4" t="s">
        <v>62</v>
      </c>
      <c r="C66" s="4" t="s">
        <v>123</v>
      </c>
      <c r="D66" s="4" t="s">
        <v>154</v>
      </c>
      <c r="E66" s="4" t="s">
        <v>155</v>
      </c>
      <c r="F66" s="4" t="s">
        <v>14</v>
      </c>
      <c r="G66" s="6">
        <v>46339</v>
      </c>
      <c r="H66" s="6">
        <v>46342</v>
      </c>
      <c r="I66" s="4" t="s">
        <v>15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12"/>
      <c r="BH66" s="1"/>
      <c r="BI66" s="1"/>
    </row>
    <row r="67" spans="1:61">
      <c r="A67" s="10">
        <v>2.4500000000000002</v>
      </c>
      <c r="B67" s="4" t="s">
        <v>62</v>
      </c>
      <c r="C67" s="4" t="s">
        <v>123</v>
      </c>
      <c r="D67" s="4" t="s">
        <v>156</v>
      </c>
      <c r="E67" s="4" t="s">
        <v>157</v>
      </c>
      <c r="F67" s="4" t="s">
        <v>14</v>
      </c>
      <c r="G67" s="6">
        <v>46342</v>
      </c>
      <c r="H67" s="6">
        <v>46342</v>
      </c>
      <c r="I67" s="4" t="s">
        <v>15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12"/>
      <c r="BH67" s="1"/>
      <c r="BI67" s="1"/>
    </row>
    <row r="68" spans="1:61">
      <c r="A68" s="10">
        <v>2.46</v>
      </c>
      <c r="B68" s="4" t="s">
        <v>62</v>
      </c>
      <c r="C68" s="4" t="s">
        <v>123</v>
      </c>
      <c r="D68" s="4" t="s">
        <v>158</v>
      </c>
      <c r="E68" s="4" t="s">
        <v>159</v>
      </c>
      <c r="F68" s="4" t="s">
        <v>14</v>
      </c>
      <c r="G68" s="6">
        <v>46342</v>
      </c>
      <c r="H68" s="6">
        <v>46342</v>
      </c>
      <c r="I68" s="4" t="s">
        <v>15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12"/>
      <c r="BH68" s="1"/>
      <c r="BI68" s="1"/>
    </row>
    <row r="69" spans="1:61">
      <c r="A69" s="10">
        <v>2.4700000000000002</v>
      </c>
      <c r="B69" s="4" t="s">
        <v>62</v>
      </c>
      <c r="C69" s="4" t="s">
        <v>123</v>
      </c>
      <c r="D69" s="4" t="s">
        <v>160</v>
      </c>
      <c r="E69" s="4" t="s">
        <v>161</v>
      </c>
      <c r="F69" s="4" t="s">
        <v>14</v>
      </c>
      <c r="G69" s="6">
        <v>46342</v>
      </c>
      <c r="H69" s="6">
        <v>46343</v>
      </c>
      <c r="I69" s="4" t="s">
        <v>15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12"/>
      <c r="BH69" s="1"/>
      <c r="BI69" s="1"/>
    </row>
    <row r="70" spans="1:61">
      <c r="A70" s="10">
        <v>2.48</v>
      </c>
      <c r="B70" s="4" t="s">
        <v>62</v>
      </c>
      <c r="C70" s="4" t="s">
        <v>162</v>
      </c>
      <c r="D70" s="4" t="s">
        <v>163</v>
      </c>
      <c r="E70" s="4" t="s">
        <v>164</v>
      </c>
      <c r="F70" s="4" t="s">
        <v>14</v>
      </c>
      <c r="G70" s="6">
        <v>46343</v>
      </c>
      <c r="H70" s="6">
        <v>46343</v>
      </c>
      <c r="I70" s="4" t="s">
        <v>15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12"/>
      <c r="BH70" s="1"/>
      <c r="BI70" s="1"/>
    </row>
    <row r="71" spans="1:61">
      <c r="A71" s="10">
        <v>2.4900000000000002</v>
      </c>
      <c r="B71" s="4" t="s">
        <v>62</v>
      </c>
      <c r="C71" s="4" t="s">
        <v>162</v>
      </c>
      <c r="D71" s="4" t="s">
        <v>165</v>
      </c>
      <c r="E71" s="4" t="s">
        <v>166</v>
      </c>
      <c r="F71" s="4" t="s">
        <v>14</v>
      </c>
      <c r="G71" s="6">
        <v>46342</v>
      </c>
      <c r="H71" s="6">
        <v>46343</v>
      </c>
      <c r="I71" s="4" t="s">
        <v>15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12"/>
      <c r="BH71" s="1"/>
      <c r="BI71" s="1"/>
    </row>
    <row r="72" spans="1:61">
      <c r="A72" s="10">
        <v>3.1</v>
      </c>
      <c r="B72" s="4" t="s">
        <v>167</v>
      </c>
      <c r="C72" s="4" t="s">
        <v>168</v>
      </c>
      <c r="D72" s="4" t="s">
        <v>169</v>
      </c>
      <c r="E72" s="4" t="s">
        <v>170</v>
      </c>
      <c r="F72" s="4" t="s">
        <v>14</v>
      </c>
      <c r="G72" s="6">
        <v>46342</v>
      </c>
      <c r="H72" s="6">
        <v>46343</v>
      </c>
      <c r="I72" s="4" t="s">
        <v>15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12"/>
      <c r="BH72" s="1"/>
      <c r="BI72" s="1"/>
    </row>
    <row r="73" spans="1:61">
      <c r="A73" s="10">
        <v>3.2</v>
      </c>
      <c r="B73" s="4" t="s">
        <v>167</v>
      </c>
      <c r="C73" s="4" t="s">
        <v>171</v>
      </c>
      <c r="D73" s="4" t="s">
        <v>172</v>
      </c>
      <c r="E73" s="4" t="s">
        <v>173</v>
      </c>
      <c r="F73" s="4" t="s">
        <v>14</v>
      </c>
      <c r="G73" s="6">
        <v>46343</v>
      </c>
      <c r="H73" s="6">
        <v>46343</v>
      </c>
      <c r="I73" s="4" t="s">
        <v>15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12"/>
      <c r="BH73" s="1"/>
      <c r="BI73" s="1"/>
    </row>
    <row r="74" spans="1:61">
      <c r="A74" s="10">
        <v>3.3</v>
      </c>
      <c r="B74" s="4" t="s">
        <v>167</v>
      </c>
      <c r="C74" s="4" t="s">
        <v>171</v>
      </c>
      <c r="D74" s="4" t="s">
        <v>174</v>
      </c>
      <c r="E74" s="4" t="s">
        <v>175</v>
      </c>
      <c r="F74" s="4" t="s">
        <v>14</v>
      </c>
      <c r="G74" s="6">
        <v>46343</v>
      </c>
      <c r="H74" s="6">
        <v>46345</v>
      </c>
      <c r="I74" s="4" t="s">
        <v>15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12"/>
      <c r="BH74" s="1"/>
      <c r="BI74" s="1"/>
    </row>
    <row r="75" spans="1:61">
      <c r="A75" s="10">
        <v>3.4</v>
      </c>
      <c r="B75" s="4" t="s">
        <v>167</v>
      </c>
      <c r="C75" s="4" t="s">
        <v>171</v>
      </c>
      <c r="D75" s="4" t="s">
        <v>176</v>
      </c>
      <c r="E75" s="4" t="s">
        <v>177</v>
      </c>
      <c r="F75" s="4" t="s">
        <v>14</v>
      </c>
      <c r="G75" s="6">
        <v>46345</v>
      </c>
      <c r="H75" s="6">
        <v>46345</v>
      </c>
      <c r="I75" s="4" t="s">
        <v>15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12"/>
      <c r="BH75" s="1"/>
      <c r="BI75" s="1"/>
    </row>
    <row r="76" spans="1:61">
      <c r="A76" s="10">
        <v>3.5</v>
      </c>
      <c r="B76" s="4" t="s">
        <v>167</v>
      </c>
      <c r="C76" s="4" t="s">
        <v>171</v>
      </c>
      <c r="D76" s="4" t="s">
        <v>178</v>
      </c>
      <c r="E76" s="4" t="s">
        <v>179</v>
      </c>
      <c r="F76" s="4" t="s">
        <v>14</v>
      </c>
      <c r="G76" s="6">
        <v>46345</v>
      </c>
      <c r="H76" s="6">
        <v>46345</v>
      </c>
      <c r="I76" s="4" t="s">
        <v>15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12"/>
      <c r="BH76" s="1"/>
      <c r="BI76" s="1"/>
    </row>
    <row r="77" spans="1:61">
      <c r="A77" s="10">
        <v>3.6</v>
      </c>
      <c r="B77" s="4" t="s">
        <v>167</v>
      </c>
      <c r="C77" s="4" t="s">
        <v>180</v>
      </c>
      <c r="D77" s="4" t="s">
        <v>181</v>
      </c>
      <c r="E77" s="4" t="s">
        <v>182</v>
      </c>
      <c r="F77" s="4" t="s">
        <v>14</v>
      </c>
      <c r="G77" s="6">
        <v>46345</v>
      </c>
      <c r="H77" s="6">
        <v>46346</v>
      </c>
      <c r="I77" s="4" t="s">
        <v>15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12"/>
      <c r="BH77" s="1"/>
      <c r="BI77" s="1"/>
    </row>
    <row r="78" spans="1:61">
      <c r="A78" s="10">
        <v>3.7</v>
      </c>
      <c r="B78" s="4" t="s">
        <v>167</v>
      </c>
      <c r="C78" s="4" t="s">
        <v>180</v>
      </c>
      <c r="D78" s="4" t="s">
        <v>183</v>
      </c>
      <c r="E78" s="4" t="s">
        <v>184</v>
      </c>
      <c r="F78" s="4" t="s">
        <v>14</v>
      </c>
      <c r="G78" s="6">
        <v>46346</v>
      </c>
      <c r="H78" s="6">
        <v>46346</v>
      </c>
      <c r="I78" s="4" t="s">
        <v>15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12"/>
      <c r="BH78" s="1"/>
      <c r="BI78" s="1"/>
    </row>
    <row r="79" spans="1:61">
      <c r="A79" s="10">
        <v>3.8</v>
      </c>
      <c r="B79" s="4" t="s">
        <v>167</v>
      </c>
      <c r="C79" s="4" t="s">
        <v>180</v>
      </c>
      <c r="D79" s="4" t="s">
        <v>185</v>
      </c>
      <c r="E79" s="4" t="s">
        <v>186</v>
      </c>
      <c r="F79" s="4" t="s">
        <v>14</v>
      </c>
      <c r="G79" s="6">
        <v>46346</v>
      </c>
      <c r="H79" s="6">
        <v>46346</v>
      </c>
      <c r="I79" s="4" t="s">
        <v>15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12"/>
      <c r="BH79" s="1"/>
      <c r="BI79" s="1"/>
    </row>
    <row r="80" spans="1:61">
      <c r="A80" s="10">
        <v>3.9</v>
      </c>
      <c r="B80" s="4" t="s">
        <v>167</v>
      </c>
      <c r="C80" s="4" t="s">
        <v>180</v>
      </c>
      <c r="D80" s="4" t="s">
        <v>187</v>
      </c>
      <c r="E80" s="4" t="s">
        <v>188</v>
      </c>
      <c r="F80" s="4" t="s">
        <v>14</v>
      </c>
      <c r="G80" s="6">
        <v>46349</v>
      </c>
      <c r="H80" s="6">
        <v>46349</v>
      </c>
      <c r="I80" s="4" t="s">
        <v>15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12"/>
      <c r="BH80" s="1"/>
      <c r="BI80" s="1"/>
    </row>
    <row r="81" spans="1:61">
      <c r="A81" s="10">
        <v>3.1</v>
      </c>
      <c r="B81" s="4" t="s">
        <v>167</v>
      </c>
      <c r="C81" s="4" t="s">
        <v>189</v>
      </c>
      <c r="D81" s="4" t="s">
        <v>190</v>
      </c>
      <c r="E81" s="4" t="s">
        <v>191</v>
      </c>
      <c r="F81" s="4" t="s">
        <v>14</v>
      </c>
      <c r="G81" s="6">
        <v>46349</v>
      </c>
      <c r="H81" s="6">
        <v>46349</v>
      </c>
      <c r="I81" s="4" t="s">
        <v>15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12"/>
      <c r="BH81" s="1"/>
      <c r="BI81" s="1"/>
    </row>
    <row r="82" spans="1:61">
      <c r="A82" s="10">
        <v>3.11</v>
      </c>
      <c r="B82" s="4" t="s">
        <v>167</v>
      </c>
      <c r="C82" s="4" t="s">
        <v>192</v>
      </c>
      <c r="D82" s="4" t="s">
        <v>193</v>
      </c>
      <c r="E82" s="4" t="s">
        <v>194</v>
      </c>
      <c r="F82" s="4" t="s">
        <v>14</v>
      </c>
      <c r="G82" s="6">
        <v>46349</v>
      </c>
      <c r="H82" s="6">
        <v>46349</v>
      </c>
      <c r="I82" s="4" t="s">
        <v>15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12"/>
      <c r="BH82" s="1"/>
      <c r="BI82" s="1"/>
    </row>
    <row r="83" spans="1:61">
      <c r="A83" s="10">
        <v>3.12</v>
      </c>
      <c r="B83" s="4" t="s">
        <v>167</v>
      </c>
      <c r="C83" s="4" t="s">
        <v>195</v>
      </c>
      <c r="D83" s="4" t="s">
        <v>196</v>
      </c>
      <c r="E83" s="4" t="s">
        <v>197</v>
      </c>
      <c r="F83" s="4" t="s">
        <v>14</v>
      </c>
      <c r="G83" s="6">
        <v>46349</v>
      </c>
      <c r="H83" s="6">
        <v>46350</v>
      </c>
      <c r="I83" s="4" t="s">
        <v>15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12"/>
      <c r="BH83" s="1"/>
      <c r="BI83" s="1"/>
    </row>
    <row r="84" spans="1:61">
      <c r="A84" s="10">
        <v>3.13</v>
      </c>
      <c r="B84" s="4" t="s">
        <v>167</v>
      </c>
      <c r="C84" s="4" t="s">
        <v>198</v>
      </c>
      <c r="D84" s="4" t="s">
        <v>199</v>
      </c>
      <c r="E84" s="4" t="s">
        <v>200</v>
      </c>
      <c r="F84" s="4" t="s">
        <v>14</v>
      </c>
      <c r="G84" s="6">
        <v>46349</v>
      </c>
      <c r="H84" s="6">
        <v>46352</v>
      </c>
      <c r="I84" s="4" t="s">
        <v>15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12"/>
      <c r="BH84" s="1"/>
      <c r="BI84" s="1"/>
    </row>
    <row r="85" spans="1:61">
      <c r="A85" s="10">
        <v>3.14</v>
      </c>
      <c r="B85" s="4" t="s">
        <v>167</v>
      </c>
      <c r="C85" s="4" t="s">
        <v>201</v>
      </c>
      <c r="D85" s="4" t="s">
        <v>202</v>
      </c>
      <c r="E85" s="4" t="s">
        <v>203</v>
      </c>
      <c r="F85" s="4" t="s">
        <v>14</v>
      </c>
      <c r="G85" s="6">
        <v>46352</v>
      </c>
      <c r="H85" s="6">
        <v>46352</v>
      </c>
      <c r="I85" s="4" t="s">
        <v>15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12"/>
      <c r="BH85" s="1"/>
      <c r="BI85" s="1"/>
    </row>
    <row r="86" spans="1:61">
      <c r="A86" s="10">
        <v>4.0999999999999996</v>
      </c>
      <c r="B86" s="4" t="s">
        <v>204</v>
      </c>
      <c r="C86" s="4" t="s">
        <v>205</v>
      </c>
      <c r="D86" s="4" t="s">
        <v>206</v>
      </c>
      <c r="E86" s="4" t="s">
        <v>207</v>
      </c>
      <c r="F86" s="4" t="s">
        <v>14</v>
      </c>
      <c r="G86" s="6">
        <v>46345</v>
      </c>
      <c r="H86" s="6">
        <v>46345</v>
      </c>
      <c r="I86" s="4" t="s">
        <v>15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12"/>
      <c r="BH86" s="1"/>
      <c r="BI86" s="1"/>
    </row>
    <row r="87" spans="1:61">
      <c r="A87" s="10">
        <v>4.2</v>
      </c>
      <c r="B87" s="4" t="s">
        <v>204</v>
      </c>
      <c r="C87" s="4" t="s">
        <v>208</v>
      </c>
      <c r="D87" s="4" t="s">
        <v>209</v>
      </c>
      <c r="E87" s="4" t="s">
        <v>210</v>
      </c>
      <c r="F87" s="4" t="s">
        <v>14</v>
      </c>
      <c r="G87" s="6">
        <v>46345</v>
      </c>
      <c r="H87" s="6">
        <v>46346</v>
      </c>
      <c r="I87" s="4" t="s">
        <v>15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12"/>
      <c r="BH87" s="1"/>
      <c r="BI87" s="1"/>
    </row>
    <row r="88" spans="1:61">
      <c r="A88" s="10">
        <v>4.3</v>
      </c>
      <c r="B88" s="4" t="s">
        <v>204</v>
      </c>
      <c r="C88" s="4" t="s">
        <v>211</v>
      </c>
      <c r="D88" s="4" t="s">
        <v>212</v>
      </c>
      <c r="E88" s="4" t="s">
        <v>213</v>
      </c>
      <c r="F88" s="4" t="s">
        <v>14</v>
      </c>
      <c r="G88" s="6">
        <v>46346</v>
      </c>
      <c r="H88" s="6">
        <v>46349</v>
      </c>
      <c r="I88" s="4" t="s">
        <v>15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12"/>
      <c r="BH88" s="1"/>
      <c r="BI88" s="1"/>
    </row>
    <row r="89" spans="1:61">
      <c r="A89" s="10">
        <v>4.4000000000000004</v>
      </c>
      <c r="B89" s="4" t="s">
        <v>204</v>
      </c>
      <c r="C89" s="4" t="s">
        <v>74</v>
      </c>
      <c r="D89" s="4" t="s">
        <v>214</v>
      </c>
      <c r="E89" s="4" t="s">
        <v>215</v>
      </c>
      <c r="F89" s="4" t="s">
        <v>14</v>
      </c>
      <c r="G89" s="6">
        <v>46349</v>
      </c>
      <c r="H89" s="6">
        <v>46349</v>
      </c>
      <c r="I89" s="4" t="s">
        <v>15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12"/>
      <c r="BH89" s="1"/>
      <c r="BI89" s="1"/>
    </row>
    <row r="90" spans="1:61">
      <c r="A90" s="10">
        <v>4.5</v>
      </c>
      <c r="B90" s="4" t="s">
        <v>204</v>
      </c>
      <c r="C90" s="4" t="s">
        <v>77</v>
      </c>
      <c r="D90" s="4" t="s">
        <v>216</v>
      </c>
      <c r="E90" s="4" t="s">
        <v>217</v>
      </c>
      <c r="F90" s="4" t="s">
        <v>14</v>
      </c>
      <c r="G90" s="6">
        <v>46350</v>
      </c>
      <c r="H90" s="6">
        <v>46350</v>
      </c>
      <c r="I90" s="4" t="s">
        <v>15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12"/>
      <c r="BH90" s="1"/>
      <c r="BI90" s="1"/>
    </row>
    <row r="91" spans="1:61">
      <c r="A91" s="10">
        <v>4.5999999999999996</v>
      </c>
      <c r="B91" s="4" t="s">
        <v>204</v>
      </c>
      <c r="C91" s="4" t="s">
        <v>123</v>
      </c>
      <c r="D91" s="4" t="s">
        <v>218</v>
      </c>
      <c r="E91" s="4" t="s">
        <v>219</v>
      </c>
      <c r="F91" s="4" t="s">
        <v>14</v>
      </c>
      <c r="G91" s="6">
        <v>46350</v>
      </c>
      <c r="H91" s="6">
        <v>46352</v>
      </c>
      <c r="I91" s="4" t="s">
        <v>15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12"/>
      <c r="BH91" s="1"/>
      <c r="BI91" s="1"/>
    </row>
    <row r="92" spans="1:61">
      <c r="A92" s="10">
        <v>4.7</v>
      </c>
      <c r="B92" s="4" t="s">
        <v>204</v>
      </c>
      <c r="C92" s="4" t="s">
        <v>220</v>
      </c>
      <c r="D92" s="4" t="s">
        <v>221</v>
      </c>
      <c r="E92" s="4" t="s">
        <v>222</v>
      </c>
      <c r="F92" s="4" t="s">
        <v>14</v>
      </c>
      <c r="G92" s="6">
        <v>46352</v>
      </c>
      <c r="H92" s="6">
        <v>46352</v>
      </c>
      <c r="I92" s="4" t="s">
        <v>15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12"/>
      <c r="BH92" s="1"/>
      <c r="BI92" s="1"/>
    </row>
    <row r="93" spans="1:61">
      <c r="A93" s="10">
        <v>4.8</v>
      </c>
      <c r="B93" s="4" t="s">
        <v>204</v>
      </c>
      <c r="C93" s="4" t="s">
        <v>74</v>
      </c>
      <c r="D93" s="4" t="s">
        <v>223</v>
      </c>
      <c r="E93" s="4" t="s">
        <v>224</v>
      </c>
      <c r="F93" s="4" t="s">
        <v>14</v>
      </c>
      <c r="G93" s="6">
        <v>46352</v>
      </c>
      <c r="H93" s="6">
        <v>46352</v>
      </c>
      <c r="I93" s="4" t="s">
        <v>15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12"/>
      <c r="BH93" s="1"/>
      <c r="BI93" s="1"/>
    </row>
    <row r="94" spans="1:61">
      <c r="A94" s="10">
        <v>4.9000000000000004</v>
      </c>
      <c r="B94" s="4" t="s">
        <v>204</v>
      </c>
      <c r="C94" s="4" t="s">
        <v>225</v>
      </c>
      <c r="D94" s="4" t="s">
        <v>226</v>
      </c>
      <c r="E94" s="4" t="s">
        <v>227</v>
      </c>
      <c r="F94" s="4" t="s">
        <v>14</v>
      </c>
      <c r="G94" s="6">
        <v>46353</v>
      </c>
      <c r="H94" s="6">
        <v>46353</v>
      </c>
      <c r="I94" s="4" t="s">
        <v>15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12"/>
      <c r="BH94" s="1"/>
      <c r="BI94" s="1"/>
    </row>
    <row r="95" spans="1:61">
      <c r="A95" s="10">
        <v>4.0999999999999996</v>
      </c>
      <c r="B95" s="4" t="s">
        <v>204</v>
      </c>
      <c r="C95" s="4" t="s">
        <v>198</v>
      </c>
      <c r="D95" s="4" t="s">
        <v>228</v>
      </c>
      <c r="E95" s="4" t="s">
        <v>229</v>
      </c>
      <c r="F95" s="4" t="s">
        <v>14</v>
      </c>
      <c r="G95" s="6">
        <v>46353</v>
      </c>
      <c r="H95" s="6">
        <v>46356</v>
      </c>
      <c r="I95" s="4" t="s">
        <v>15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12"/>
      <c r="BH95" s="1"/>
      <c r="BI95" s="1"/>
    </row>
    <row r="96" spans="1:61">
      <c r="A96" s="10">
        <v>4.1100000000000003</v>
      </c>
      <c r="B96" s="4" t="s">
        <v>204</v>
      </c>
      <c r="C96" s="4" t="s">
        <v>230</v>
      </c>
      <c r="D96" s="4" t="s">
        <v>231</v>
      </c>
      <c r="E96" s="4" t="s">
        <v>232</v>
      </c>
      <c r="F96" s="4" t="s">
        <v>14</v>
      </c>
      <c r="G96" s="6">
        <v>46353</v>
      </c>
      <c r="H96" s="6">
        <v>46356</v>
      </c>
      <c r="I96" s="4" t="s">
        <v>15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12"/>
      <c r="BH96" s="1"/>
      <c r="BI96" s="1"/>
    </row>
    <row r="97" spans="1:61">
      <c r="A97" s="13">
        <v>4.12</v>
      </c>
      <c r="B97" s="14" t="s">
        <v>204</v>
      </c>
      <c r="C97" s="14" t="s">
        <v>233</v>
      </c>
      <c r="D97" s="14" t="s">
        <v>234</v>
      </c>
      <c r="E97" s="14" t="s">
        <v>235</v>
      </c>
      <c r="F97" s="14" t="s">
        <v>14</v>
      </c>
      <c r="G97" s="15">
        <v>46356</v>
      </c>
      <c r="H97" s="15">
        <v>46356</v>
      </c>
      <c r="I97" s="14" t="s">
        <v>15</v>
      </c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6"/>
      <c r="BH97" s="1"/>
      <c r="BI97" s="1"/>
    </row>
    <row r="98" spans="1:61">
      <c r="A98" s="1"/>
      <c r="B98" s="1"/>
      <c r="C98" s="1"/>
      <c r="D98" s="1"/>
      <c r="E98" s="1"/>
      <c r="F98" s="1"/>
      <c r="G98" s="2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</row>
    <row r="99" spans="1:61">
      <c r="A99" s="1"/>
      <c r="B99" s="1"/>
      <c r="C99" s="1"/>
      <c r="D99" s="1"/>
      <c r="E99" s="1"/>
      <c r="F99" s="1"/>
      <c r="G99" s="2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</row>
  </sheetData>
  <conditionalFormatting sqref="J3:BG120">
    <cfRule type="expression" dxfId="18" priority="13">
      <formula>AND(OR(WEEKDAY(J$2,2)=3,WEEKDAY(J$2,2)&gt;=6),J3&lt;&gt;"実行")</formula>
    </cfRule>
  </conditionalFormatting>
  <conditionalFormatting sqref="J3:BG120">
    <cfRule type="expression" dxfId="17" priority="29">
      <formula>AND(J3="実行",$B3="設計")</formula>
    </cfRule>
  </conditionalFormatting>
  <conditionalFormatting sqref="J3:BG120">
    <cfRule type="expression" dxfId="16" priority="23">
      <formula>AND(J3="実行",$B3="製造")</formula>
    </cfRule>
  </conditionalFormatting>
  <conditionalFormatting sqref="J3:BG120">
    <cfRule type="expression" dxfId="15" priority="20">
      <formula>AND(J3="実行",$B3="テスト")</formula>
    </cfRule>
  </conditionalFormatting>
  <conditionalFormatting sqref="J3:BG120">
    <cfRule type="expression" dxfId="14" priority="16">
      <formula>AND(J3="実行",$B3="デプロイ")</formula>
    </cfRule>
  </conditionalFormatting>
  <conditionalFormatting sqref="B1:B1048576">
    <cfRule type="containsText" dxfId="13" priority="25" operator="containsText" text="設計">
      <formula>NOT(ISERROR(SEARCH("設計",B1)))</formula>
    </cfRule>
  </conditionalFormatting>
  <conditionalFormatting sqref="B1:B1048576">
    <cfRule type="containsText" dxfId="12" priority="22" operator="containsText" text="製造">
      <formula>NOT(ISERROR(SEARCH("製造",B1)))</formula>
    </cfRule>
  </conditionalFormatting>
  <conditionalFormatting sqref="B1:B1048576">
    <cfRule type="containsText" dxfId="11" priority="18" operator="containsText" text="テスト">
      <formula>NOT(ISERROR(SEARCH("テスト",B1)))</formula>
    </cfRule>
  </conditionalFormatting>
  <conditionalFormatting sqref="B1:B1048576">
    <cfRule type="containsText" dxfId="10" priority="15" operator="containsText" text="デプロイ">
      <formula>NOT(ISERROR(SEARCH("デプロイ",B1)))</formula>
    </cfRule>
  </conditionalFormatting>
  <conditionalFormatting sqref="J2:BG2">
    <cfRule type="expression" dxfId="9" priority="14">
      <formula>J2=TODAY()</formula>
    </cfRule>
  </conditionalFormatting>
  <conditionalFormatting sqref="F3:F120">
    <cfRule type="expression" dxfId="8" priority="10">
      <formula>$F3="完了"</formula>
    </cfRule>
  </conditionalFormatting>
  <conditionalFormatting sqref="F3:F120">
    <cfRule type="expression" dxfId="7" priority="12">
      <formula>$F3="未着手"</formula>
    </cfRule>
  </conditionalFormatting>
  <conditionalFormatting sqref="F3:F120">
    <cfRule type="expression" dxfId="6" priority="11">
      <formula>$F3="進行中"</formula>
    </cfRule>
  </conditionalFormatting>
  <conditionalFormatting sqref="F3:F120">
    <cfRule type="expression" dxfId="5" priority="9">
      <formula>$F3="遅延"</formula>
    </cfRule>
  </conditionalFormatting>
  <conditionalFormatting sqref="J3:BG120">
    <cfRule type="expression" dxfId="4" priority="55">
      <formula>AND(J$2&gt;=$G3,J$2&lt;=$H3,$B3="設計",WEEKDAY(J$2,2)&lt;&gt;3,WEEKDAY(J$2,2)&lt;6)</formula>
    </cfRule>
  </conditionalFormatting>
  <conditionalFormatting sqref="J3:BG120">
    <cfRule type="expression" dxfId="3" priority="56">
      <formula>AND(J$2&gt;=$G3,J$2&lt;=$H3,$B3="製造",WEEKDAY(J$2,2)&lt;&gt;3,WEEKDAY(J$2,2)&lt;6)</formula>
    </cfRule>
  </conditionalFormatting>
  <conditionalFormatting sqref="J3:BG120">
    <cfRule type="expression" dxfId="2" priority="57">
      <formula>AND(J$2&gt;=$G3,J$2&lt;=$H3,$B3="テスト",WEEKDAY(J$2,2)&lt;&gt;3,WEEKDAY(J$2,2)&lt;6)</formula>
    </cfRule>
  </conditionalFormatting>
  <conditionalFormatting sqref="J3:BG120">
    <cfRule type="expression" dxfId="1" priority="58">
      <formula>AND(J$2&gt;=$G3,J$2&lt;=$H3,$B3="デプロイ",WEEKDAY(J$2,2)&lt;&gt;3,WEEKDAY(J$2,2)&lt;6)</formula>
    </cfRule>
  </conditionalFormatting>
  <conditionalFormatting sqref="F3:F120">
    <cfRule type="expression" dxfId="0" priority="4" stopIfTrue="1">
      <formula>AND($H3&lt;TODAY(),$H3&lt;&gt;"",$F3&lt;&gt;"完了")</formula>
    </cfRule>
  </conditionalFormatting>
  <dataValidations count="1">
    <dataValidation type="list" allowBlank="1" showInputMessage="1" showErrorMessage="1" sqref="F3:F120" xr:uid="{88229D29-A2BE-4E32-A15B-38EF5F7CDD13}">
      <formula1>"未着手,進行中,完了,遅延"</formula1>
    </dataValidation>
  </dataValidations>
  <pageMargins left="0.25" right="0.25" top="0.75" bottom="0.7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2026-10-09T01:41:41Z</dcterms:created>
  <dcterms:modified xsi:type="dcterms:W3CDTF">2026-10-09T08:31:15Z</dcterms:modified>
  <cp:category/>
  <cp:contentStatus/>
</cp:coreProperties>
</file>