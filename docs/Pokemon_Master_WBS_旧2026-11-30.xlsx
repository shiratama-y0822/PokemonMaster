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467f2d767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ba21ec796ca84052"/>
    <x:sheet xmlns:r="http://schemas.openxmlformats.org/officeDocument/2006/relationships" name="不足画面_API" sheetId="2" r:id="Rb2f64f1da67a4e28"/>
    <x:sheet xmlns:r="http://schemas.openxmlformats.org/officeDocument/2006/relationships" name="サマリー" sheetId="3" r:id="R88d5057d088742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3">
    <x:font>
      <x:sz val="11"/>
      <x:name val="Carlito"/>
    </x:font>
    <x:font>
      <x:b/>
      <x:sz val="12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2abf28a4b4e43" /><Relationship Type="http://schemas.openxmlformats.org/officeDocument/2006/relationships/theme" Target="/xl/theme/theme1.xml" Id="R1669fbb64c554dc3" /><Relationship Type="http://schemas.openxmlformats.org/officeDocument/2006/relationships/sharedStrings" Target="/xl/sharedStrings.xml" Id="Rffd4c78a05d6447b" /><Relationship Type="http://schemas.openxmlformats.org/officeDocument/2006/relationships/worksheet" Target="/xl/worksheets/sheet1.xml" Id="Rba21ec796ca84052" /><Relationship Type="http://schemas.openxmlformats.org/officeDocument/2006/relationships/worksheet" Target="/xl/worksheets/sheet2.xml" Id="Rb2f64f1da67a4e28" /><Relationship Type="http://schemas.openxmlformats.org/officeDocument/2006/relationships/worksheet" Target="/xl/worksheets/sheet3.xml" Id="R88d5057d088742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54b38ded7347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工程別の予定作業日数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開始</c:v>
          </c:tx>
          <c:cat>
            <c:strRef>
              <c:f>'サマリー'!$D$4:$D$7</c:f>
              <c:strCache>
                <c:ptCount val="0"/>
              </c:strCache>
            </c:strRef>
          </c:cat>
          <c:val>
            <c:numRef>
              <c:f>'サマリー'!$E$4:$E$7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終了</c:v>
          </c:tx>
          <c:cat>
            <c:strRef>
              <c:f>'サマリー'!$D$4:$D$7</c:f>
              <c:strCache>
                <c:ptCount val="0"/>
              </c:strCache>
            </c:strRef>
          </c:cat>
          <c:val>
            <c:numRef>
              <c:f>'サマリー'!$F$4:$F$7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作業日数</c:v>
          </c:tx>
          <c:cat>
            <c:strRef>
              <c:f>'サマリー'!$D$4:$D$7</c:f>
              <c:strCache>
                <c:ptCount val="0"/>
              </c:strCache>
            </c:strRef>
          </c:cat>
          <c:val>
            <c:numRef>
              <c:f>'サマリー'!$G$4:$G$7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54b38ded7347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36ac2dea5d148c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5" hidden="0" customWidth="1"/>
    <x:col min="4" max="4" width="42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0" hidden="0" customWidth="1"/>
    <x:col min="10" max="10" width="38" hidden="0" customWidth="1"/>
    <x:col min="11" max="11" width="27" hidden="0" customWidth="1"/>
  </x:cols>
  <x:sheetData>
    <x:row r="1">
      <x:c r="A1" s="10" t="str">
        <x:v>WBS ID</x:v>
      </x:c>
      <x:c r="B1" s="10" t="str">
        <x:v>工程</x:v>
      </x:c>
      <x:c r="C1" s="10" t="str">
        <x:v>作業項目</x:v>
      </x:c>
      <x:c r="D1" s="10" t="str">
        <x:v>作業内容</x:v>
      </x:c>
      <x:c r="E1" s="10" t="str">
        <x:v>開始日</x:v>
      </x:c>
      <x:c r="F1" s="10" t="str">
        <x:v>終了日</x:v>
      </x:c>
      <x:c r="G1" s="10" t="str">
        <x:v>予定作業日数</x:v>
      </x:c>
      <x:c r="H1" s="10" t="str">
        <x:v>ステータス</x:v>
      </x:c>
      <x:c r="I1" s="10" t="str">
        <x:v>進捗率</x:v>
      </x:c>
      <x:c r="J1" s="10" t="str">
        <x:v>成果物・完了条件</x:v>
      </x:c>
      <x:c r="K1" s="10" t="str">
        <x:v>遅延時の対応</x:v>
      </x:c>
    </x:row>
    <x:row r="2" ht="42" customHeight="1">
      <x:c r="A2" s="11" t="str">
        <x:v>D-01</x:v>
      </x:c>
      <x:c r="B2" s="11" t="str">
        <x:v>設計</x:v>
      </x:c>
      <x:c r="C2" s="11" t="str">
        <x:v>不足・矛盾・未決事項の確定</x:v>
      </x:c>
      <x:c r="D2" s="11" t="str">
        <x:v>要件定義と画面レイアウトを照合し、今回実装するMust範囲を確定する</x:v>
      </x:c>
      <x:c r="E2" s="14" t="n">
        <x:v>46303</x:v>
      </x:c>
      <x:c r="F2" s="14" t="n">
        <x:v>46303</x:v>
      </x:c>
      <x:c r="G2" s="11" t="n">
        <x:v>1</x:v>
      </x:c>
      <x:c r="H2" s="11" t="str">
        <x:v>未着手</x:v>
      </x:c>
      <x:c r="I2" s="16" t="n">
        <x:f>IF(H2="完了",1,IF(H2="進行中",0.5,0))</x:f>
        <x:v>0</x:v>
      </x:c>
      <x:c r="J2" s="11" t="str">
        <x:v>実装対象と保留事項が一覧化されている</x:v>
      </x:c>
      <x:c r="K2" s="11" t="str">
        <x:v>10/10(土)を予備日にする</x:v>
      </x:c>
    </x:row>
    <x:row r="3" ht="42" customHeight="1">
      <x:c r="A3" s="11" t="str">
        <x:v>D-02</x:v>
      </x:c>
      <x:c r="B3" s="11" t="str">
        <x:v>設計</x:v>
      </x:c>
      <x:c r="C3" s="11" t="str">
        <x:v>画面一覧・画面遷移の確定</x:v>
      </x:c>
      <x:c r="D3" s="11" t="str">
        <x:v>ログイン→ホーム→図鑑/ボックス/パーティ/相性表の遷移と戻り先を確定する</x:v>
      </x:c>
      <x:c r="E3" s="14" t="n">
        <x:v>46304</x:v>
      </x:c>
      <x:c r="F3" s="14" t="n">
        <x:v>46304</x:v>
      </x:c>
      <x:c r="G3" s="11" t="n">
        <x:v>1</x:v>
      </x:c>
      <x:c r="H3" s="11" t="str">
        <x:v>未着手</x:v>
      </x:c>
      <x:c r="I3" s="16" t="n">
        <x:f>IF(H3="完了",1,IF(H3="進行中",0.5,0))</x:f>
        <x:v>0</x:v>
      </x:c>
      <x:c r="J3" s="11" t="str">
        <x:v>画面一覧・遷移図が確定している</x:v>
      </x:c>
      <x:c r="K3" s="11" t="str">
        <x:v>10/10(土)を予備日にする</x:v>
      </x:c>
    </x:row>
    <x:row r="4" ht="42" customHeight="1">
      <x:c r="A4" s="11" t="str">
        <x:v>D-03</x:v>
      </x:c>
      <x:c r="B4" s="11" t="str">
        <x:v>設計</x:v>
      </x:c>
      <x:c r="C4" s="11" t="str">
        <x:v>URL設計・認証API設計</x:v>
      </x:c>
      <x:c r="D4" s="11" t="str">
        <x:v>FrontendのURLと、登録/ログイン/ログアウト/ログイン状態確認APIを設計する</x:v>
      </x:c>
      <x:c r="E4" s="14" t="n">
        <x:v>46307</x:v>
      </x:c>
      <x:c r="F4" s="14" t="n">
        <x:v>46307</x:v>
      </x:c>
      <x:c r="G4" s="11" t="n">
        <x:v>1</x:v>
      </x:c>
      <x:c r="H4" s="11" t="str">
        <x:v>未着手</x:v>
      </x:c>
      <x:c r="I4" s="16" t="n">
        <x:f>IF(H4="完了",1,IF(H4="進行中",0.5,0))</x:f>
        <x:v>0</x:v>
      </x:c>
      <x:c r="J4" s="11" t="str">
        <x:v>URL一覧と認証API仕様がある</x:v>
      </x:c>
      <x:c r="K4" s="11" t="str">
        <x:v>10/14(水)を予備日にする</x:v>
      </x:c>
    </x:row>
    <x:row r="5" ht="42" customHeight="1">
      <x:c r="A5" s="11" t="str">
        <x:v>D-04</x:v>
      </x:c>
      <x:c r="B5" s="11" t="str">
        <x:v>設計</x:v>
      </x:c>
      <x:c r="C5" s="11" t="str">
        <x:v>図鑑・相性表API設計</x:v>
      </x:c>
      <x:c r="D5" s="11" t="str">
        <x:v>検索条件、詳細取得、PokeAPI呼出条件、Request/Responseを整理する</x:v>
      </x:c>
      <x:c r="E5" s="14" t="n">
        <x:v>46308</x:v>
      </x:c>
      <x:c r="F5" s="14" t="n">
        <x:v>46308</x:v>
      </x:c>
      <x:c r="G5" s="11" t="n">
        <x:v>1</x:v>
      </x:c>
      <x:c r="H5" s="11" t="str">
        <x:v>未着手</x:v>
      </x:c>
      <x:c r="I5" s="16" t="n">
        <x:f>IF(H5="完了",1,IF(H5="進行中",0.5,0))</x:f>
        <x:v>0</x:v>
      </x:c>
      <x:c r="J5" s="11" t="str">
        <x:v>図鑑・相性表API仕様がある</x:v>
      </x:c>
      <x:c r="K5" s="11" t="str">
        <x:v>10/14(水)を予備日にする</x:v>
      </x:c>
    </x:row>
    <x:row r="6" ht="42" customHeight="1">
      <x:c r="A6" s="11" t="str">
        <x:v>D-05</x:v>
      </x:c>
      <x:c r="B6" s="11" t="str">
        <x:v>設計</x:v>
      </x:c>
      <x:c r="C6" s="11" t="str">
        <x:v>ボックスAPI設計</x:v>
      </x:c>
      <x:c r="D6" s="11" t="str">
        <x:v>一覧/検索/詳細/登録/変更/削除のURL・Request・Responseを整理する</x:v>
      </x:c>
      <x:c r="E6" s="14" t="n">
        <x:v>46310</x:v>
      </x:c>
      <x:c r="F6" s="14" t="n">
        <x:v>46310</x:v>
      </x:c>
      <x:c r="G6" s="11" t="n">
        <x:v>1</x:v>
      </x:c>
      <x:c r="H6" s="11" t="str">
        <x:v>未着手</x:v>
      </x:c>
      <x:c r="I6" s="16" t="n">
        <x:f>IF(H6="完了",1,IF(H6="進行中",0.5,0))</x:f>
        <x:v>0</x:v>
      </x:c>
      <x:c r="J6" s="11" t="str">
        <x:v>ボックスAPI仕様がある</x:v>
      </x:c>
      <x:c r="K6" s="11" t="str">
        <x:v>10/17(土)を予備日にする</x:v>
      </x:c>
    </x:row>
    <x:row r="7" ht="42" customHeight="1">
      <x:c r="A7" s="11" t="str">
        <x:v>D-06</x:v>
      </x:c>
      <x:c r="B7" s="11" t="str">
        <x:v>設計</x:v>
      </x:c>
      <x:c r="C7" s="11" t="str">
        <x:v>パーティAPI設計</x:v>
      </x:c>
      <x:c r="D7" s="11" t="str">
        <x:v>一覧取得を追加し、ボックスとの関係・登録/変更/削除方法を整理する</x:v>
      </x:c>
      <x:c r="E7" s="14" t="n">
        <x:v>46311</x:v>
      </x:c>
      <x:c r="F7" s="14" t="n">
        <x:v>46311</x:v>
      </x:c>
      <x:c r="G7" s="11" t="n">
        <x:v>1</x:v>
      </x:c>
      <x:c r="H7" s="11" t="str">
        <x:v>未着手</x:v>
      </x:c>
      <x:c r="I7" s="16" t="n">
        <x:f>IF(H7="完了",1,IF(H7="進行中",0.5,0))</x:f>
        <x:v>0</x:v>
      </x:c>
      <x:c r="J7" s="11" t="str">
        <x:v>パーティAPI仕様とボックスとの関係が確定している</x:v>
      </x:c>
      <x:c r="K7" s="11" t="str">
        <x:v>10/17(土)を予備日にする</x:v>
      </x:c>
    </x:row>
    <x:row r="8" ht="42" customHeight="1">
      <x:c r="A8" s="11" t="str">
        <x:v>D-07</x:v>
      </x:c>
      <x:c r="B8" s="11" t="str">
        <x:v>設計</x:v>
      </x:c>
      <x:c r="C8" s="11" t="str">
        <x:v>DB・テーブル設計</x:v>
      </x:c>
      <x:c r="D8" s="11" t="str">
        <x:v>users、caught_pokemon、party等のPK/FK・制約・保持データを決める</x:v>
      </x:c>
      <x:c r="E8" s="14" t="n">
        <x:v>46314</x:v>
      </x:c>
      <x:c r="F8" s="14" t="n">
        <x:v>46314</x:v>
      </x:c>
      <x:c r="G8" s="11" t="n">
        <x:v>1</x:v>
      </x:c>
      <x:c r="H8" s="11" t="str">
        <x:v>未着手</x:v>
      </x:c>
      <x:c r="I8" s="16" t="n">
        <x:f>IF(H8="完了",1,IF(H8="進行中",0.5,0))</x:f>
        <x:v>0</x:v>
      </x:c>
      <x:c r="J8" s="11" t="str">
        <x:v>ER図またはテーブル定義がある</x:v>
      </x:c>
      <x:c r="K8" s="11" t="str">
        <x:v>10/21(水)を予備日にする</x:v>
      </x:c>
    </x:row>
    <x:row r="9" ht="42" customHeight="1">
      <x:c r="A9" s="11" t="str">
        <x:v>D-08</x:v>
      </x:c>
      <x:c r="B9" s="11" t="str">
        <x:v>設計</x:v>
      </x:c>
      <x:c r="C9" s="11" t="str">
        <x:v>Validation・エラー・テスト方針・AWS構成確定</x:v>
      </x:c>
      <x:c r="D9" s="11" t="str">
        <x:v>入力チェック、HTTPステータス、外部API失敗、認証方式、AWS公開構成を確定する</x:v>
      </x:c>
      <x:c r="E9" s="14" t="n">
        <x:v>46315</x:v>
      </x:c>
      <x:c r="F9" s="14" t="n">
        <x:v>46315</x:v>
      </x:c>
      <x:c r="G9" s="11" t="n">
        <x:v>1</x:v>
      </x:c>
      <x:c r="H9" s="11" t="str">
        <x:v>未着手</x:v>
      </x:c>
      <x:c r="I9" s="16" t="n">
        <x:f>IF(H9="完了",1,IF(H9="進行中",0.5,0))</x:f>
        <x:v>0</x:v>
      </x:c>
      <x:c r="J9" s="11" t="str">
        <x:v>詳細設計を開始できる未決事項が残っていない</x:v>
      </x:c>
      <x:c r="K9" s="11" t="str">
        <x:v>10/21(水)を予備日にする</x:v>
      </x:c>
    </x:row>
    <x:row r="10" ht="42" customHeight="1">
      <x:c r="A10" s="11" t="str">
        <x:v>M-01</x:v>
      </x:c>
      <x:c r="B10" s="11" t="str">
        <x:v>製造</x:v>
      </x:c>
      <x:c r="C10" s="11" t="str">
        <x:v>開発環境・リポジトリ初期化</x:v>
      </x:c>
      <x:c r="D10" s="11" t="str">
        <x:v>Next.js/Spring Boot/PostgreSQL/Dockerの最小構成を起動できる状態にする</x:v>
      </x:c>
      <x:c r="E10" s="14" t="n">
        <x:v>46317</x:v>
      </x:c>
      <x:c r="F10" s="14" t="n">
        <x:v>46317</x:v>
      </x:c>
      <x:c r="G10" s="11" t="n">
        <x:v>1</x:v>
      </x:c>
      <x:c r="H10" s="11" t="str">
        <x:v>未着手</x:v>
      </x:c>
      <x:c r="I10" s="16" t="n">
        <x:f>IF(H10="完了",1,IF(H10="進行中",0.5,0))</x:f>
        <x:v>0</x:v>
      </x:c>
      <x:c r="J10" s="11" t="str">
        <x:v>Frontend/Backend/DBがローカルで起動する</x:v>
      </x:c>
      <x:c r="K10" s="11" t="str">
        <x:v>10/24(土)を予備日にする</x:v>
      </x:c>
    </x:row>
    <x:row r="11" ht="42" customHeight="1">
      <x:c r="A11" s="11" t="str">
        <x:v>M-02</x:v>
      </x:c>
      <x:c r="B11" s="11" t="str">
        <x:v>製造</x:v>
      </x:c>
      <x:c r="C11" s="11" t="str">
        <x:v>DB・Spring Boot基盤実装</x:v>
      </x:c>
      <x:c r="D11" s="11" t="str">
        <x:v>Entity/Repository、DB接続、共通レスポンス/例外処理の土台を作る</x:v>
      </x:c>
      <x:c r="E11" s="14" t="n">
        <x:v>46318</x:v>
      </x:c>
      <x:c r="F11" s="14" t="n">
        <x:v>46318</x:v>
      </x:c>
      <x:c r="G11" s="11" t="n">
        <x:v>1</x:v>
      </x:c>
      <x:c r="H11" s="11" t="str">
        <x:v>未着手</x:v>
      </x:c>
      <x:c r="I11" s="16" t="n">
        <x:f>IF(H11="完了",1,IF(H11="進行中",0.5,0))</x:f>
        <x:v>0</x:v>
      </x:c>
      <x:c r="J11" s="11" t="str">
        <x:v>DBへ接続し基本CRUDの土台が動く</x:v>
      </x:c>
      <x:c r="K11" s="11" t="str">
        <x:v>10/24(土)を予備日にする</x:v>
      </x:c>
    </x:row>
    <x:row r="12" ht="42" customHeight="1">
      <x:c r="A12" s="11" t="str">
        <x:v>M-03</x:v>
      </x:c>
      <x:c r="B12" s="11" t="str">
        <x:v>製造</x:v>
      </x:c>
      <x:c r="C12" s="11" t="str">
        <x:v>ユーザー登録API実装</x:v>
      </x:c>
      <x:c r="D12" s="11" t="str">
        <x:v>パスワードをハッシュ化してユーザーを登録し、重複・入力エラーを返す</x:v>
      </x:c>
      <x:c r="E12" s="14" t="n">
        <x:v>46321</x:v>
      </x:c>
      <x:c r="F12" s="14" t="n">
        <x:v>46321</x:v>
      </x:c>
      <x:c r="G12" s="11" t="n">
        <x:v>1</x:v>
      </x:c>
      <x:c r="H12" s="11" t="str">
        <x:v>未着手</x:v>
      </x:c>
      <x:c r="I12" s="16" t="n">
        <x:f>IF(H12="完了",1,IF(H12="進行中",0.5,0))</x:f>
        <x:v>0</x:v>
      </x:c>
      <x:c r="J12" s="11" t="str">
        <x:v>新規登録がAPI経由で成功/失敗する</x:v>
      </x:c>
      <x:c r="K12" s="11" t="str">
        <x:v>10/28(水)を予備日にする</x:v>
      </x:c>
    </x:row>
    <x:row r="13" ht="42" customHeight="1">
      <x:c r="A13" s="11" t="str">
        <x:v>M-04</x:v>
      </x:c>
      <x:c r="B13" s="11" t="str">
        <x:v>製造</x:v>
      </x:c>
      <x:c r="C13" s="11" t="str">
        <x:v>ログイン・ログイン状態管理実装</x:v>
      </x:c>
      <x:c r="D13" s="11" t="str">
        <x:v>ログイン、ログアウト、ログイン状態確認をBackendとFrontendでつなぐ</x:v>
      </x:c>
      <x:c r="E13" s="14" t="n">
        <x:v>46322</x:v>
      </x:c>
      <x:c r="F13" s="14" t="n">
        <x:v>46322</x:v>
      </x:c>
      <x:c r="G13" s="11" t="n">
        <x:v>1</x:v>
      </x:c>
      <x:c r="H13" s="11" t="str">
        <x:v>未着手</x:v>
      </x:c>
      <x:c r="I13" s="16" t="n">
        <x:f>IF(H13="完了",1,IF(H13="進行中",0.5,0))</x:f>
        <x:v>0</x:v>
      </x:c>
      <x:c r="J13" s="11" t="str">
        <x:v>再読込後も設計どおりログイン状態を扱える</x:v>
      </x:c>
      <x:c r="K13" s="11" t="str">
        <x:v>10/28(水)を予備日にする</x:v>
      </x:c>
    </x:row>
    <x:row r="14" ht="42" customHeight="1">
      <x:c r="A14" s="11" t="str">
        <x:v>M-05</x:v>
      </x:c>
      <x:c r="B14" s="11" t="str">
        <x:v>製造</x:v>
      </x:c>
      <x:c r="C14" s="11" t="str">
        <x:v>PokeAPIクライアント実装</x:v>
      </x:c>
      <x:c r="D14" s="11" t="str">
        <x:v>Spring BootからPokeAPIへ接続し、必要情報を取得・変換する</x:v>
      </x:c>
      <x:c r="E14" s="14" t="n">
        <x:v>46324</x:v>
      </x:c>
      <x:c r="F14" s="14" t="n">
        <x:v>46324</x:v>
      </x:c>
      <x:c r="G14" s="11" t="n">
        <x:v>1</x:v>
      </x:c>
      <x:c r="H14" s="11" t="str">
        <x:v>未着手</x:v>
      </x:c>
      <x:c r="I14" s="16" t="n">
        <x:f>IF(H14="完了",1,IF(H14="進行中",0.5,0))</x:f>
        <x:v>0</x:v>
      </x:c>
      <x:c r="J14" s="11" t="str">
        <x:v>BackendからPokeAPIの情報を取得できる</x:v>
      </x:c>
      <x:c r="K14" s="11" t="str">
        <x:v>10/31(土)を予備日にする</x:v>
      </x:c>
    </x:row>
    <x:row r="15" ht="42" customHeight="1">
      <x:c r="A15" s="11" t="str">
        <x:v>M-06</x:v>
      </x:c>
      <x:c r="B15" s="11" t="str">
        <x:v>製造</x:v>
      </x:c>
      <x:c r="C15" s="11" t="str">
        <x:v>ポケモン検索API実装</x:v>
      </x:c>
      <x:c r="D15" s="11" t="str">
        <x:v>名前/図鑑番号/タイプで検索できるBackend APIを実装する</x:v>
      </x:c>
      <x:c r="E15" s="14" t="n">
        <x:v>46325</x:v>
      </x:c>
      <x:c r="F15" s="14" t="n">
        <x:v>46325</x:v>
      </x:c>
      <x:c r="G15" s="11" t="n">
        <x:v>1</x:v>
      </x:c>
      <x:c r="H15" s="11" t="str">
        <x:v>未着手</x:v>
      </x:c>
      <x:c r="I15" s="16" t="n">
        <x:f>IF(H15="完了",1,IF(H15="進行中",0.5,0))</x:f>
        <x:v>0</x:v>
      </x:c>
      <x:c r="J15" s="11" t="str">
        <x:v>検索条件に応じた一覧が返る</x:v>
      </x:c>
      <x:c r="K15" s="11" t="str">
        <x:v>10/31(土)を予備日にする</x:v>
      </x:c>
    </x:row>
    <x:row r="16" ht="42" customHeight="1">
      <x:c r="A16" s="11" t="str">
        <x:v>M-07</x:v>
      </x:c>
      <x:c r="B16" s="11" t="str">
        <x:v>製造</x:v>
      </x:c>
      <x:c r="C16" s="11" t="str">
        <x:v>図鑑検索画面・検索結果画面実装</x:v>
      </x:c>
      <x:c r="D16" s="11" t="str">
        <x:v>検索フォーム、タイプ選択、結果一覧、0件表示を実装する</x:v>
      </x:c>
      <x:c r="E16" s="14" t="n">
        <x:v>46328</x:v>
      </x:c>
      <x:c r="F16" s="14" t="n">
        <x:v>46328</x:v>
      </x:c>
      <x:c r="G16" s="11" t="n">
        <x:v>1</x:v>
      </x:c>
      <x:c r="H16" s="11" t="str">
        <x:v>未着手</x:v>
      </x:c>
      <x:c r="I16" s="16" t="n">
        <x:f>IF(H16="完了",1,IF(H16="進行中",0.5,0))</x:f>
        <x:v>0</x:v>
      </x:c>
      <x:c r="J16" s="11" t="str">
        <x:v>Frontend→Backendで検索結果を表示できる</x:v>
      </x:c>
      <x:c r="K16" s="11" t="str">
        <x:v>11/4(水)を予備日にする</x:v>
      </x:c>
    </x:row>
    <x:row r="17" ht="42" customHeight="1">
      <x:c r="A17" s="11" t="str">
        <x:v>M-08</x:v>
      </x:c>
      <x:c r="B17" s="11" t="str">
        <x:v>製造</x:v>
      </x:c>
      <x:c r="C17" s="11" t="str">
        <x:v>図鑑詳細・タイプ相性実装</x:v>
      </x:c>
      <x:c r="D17" s="11" t="str">
        <x:v>詳細表示、種族値等、相性表表示をBackend経由で実装する</x:v>
      </x:c>
      <x:c r="E17" s="14" t="n">
        <x:v>46329</x:v>
      </x:c>
      <x:c r="F17" s="14" t="n">
        <x:v>46329</x:v>
      </x:c>
      <x:c r="G17" s="11" t="n">
        <x:v>1</x:v>
      </x:c>
      <x:c r="H17" s="11" t="str">
        <x:v>未着手</x:v>
      </x:c>
      <x:c r="I17" s="16" t="n">
        <x:f>IF(H17="完了",1,IF(H17="進行中",0.5,0))</x:f>
        <x:v>0</x:v>
      </x:c>
      <x:c r="J17" s="11" t="str">
        <x:v>詳細と相性情報を表示できる</x:v>
      </x:c>
      <x:c r="K17" s="11" t="str">
        <x:v>11/4(水)を予備日にする</x:v>
      </x:c>
    </x:row>
    <x:row r="18" ht="42" customHeight="1">
      <x:c r="A18" s="11" t="str">
        <x:v>M-09</x:v>
      </x:c>
      <x:c r="B18" s="11" t="str">
        <x:v>製造</x:v>
      </x:c>
      <x:c r="C18" s="11" t="str">
        <x:v>ボックスBackend CRUD/検索実装</x:v>
      </x:c>
      <x:c r="D18" s="11" t="str">
        <x:v>ユーザー単位の一覧/検索/詳細/登録/更新/削除を実装する</x:v>
      </x:c>
      <x:c r="E18" s="14" t="n">
        <x:v>46331</x:v>
      </x:c>
      <x:c r="F18" s="14" t="n">
        <x:v>46331</x:v>
      </x:c>
      <x:c r="G18" s="11" t="n">
        <x:v>1</x:v>
      </x:c>
      <x:c r="H18" s="11" t="str">
        <x:v>未着手</x:v>
      </x:c>
      <x:c r="I18" s="16" t="n">
        <x:f>IF(H18="完了",1,IF(H18="進行中",0.5,0))</x:f>
        <x:v>0</x:v>
      </x:c>
      <x:c r="J18" s="11" t="str">
        <x:v>DBに捕まえたポケモンをCRUDできる</x:v>
      </x:c>
      <x:c r="K18" s="11" t="str">
        <x:v>11/7(土)を予備日にする</x:v>
      </x:c>
    </x:row>
    <x:row r="19" ht="42" customHeight="1">
      <x:c r="A19" s="11" t="str">
        <x:v>M-10</x:v>
      </x:c>
      <x:c r="B19" s="11" t="str">
        <x:v>製造</x:v>
      </x:c>
      <x:c r="C19" s="11" t="str">
        <x:v>ボックス一覧・詳細画面実装</x:v>
      </x:c>
      <x:c r="D19" s="11" t="str">
        <x:v>一覧、検索、詳細への遷移と表示を実装する</x:v>
      </x:c>
      <x:c r="E19" s="14" t="n">
        <x:v>46332</x:v>
      </x:c>
      <x:c r="F19" s="14" t="n">
        <x:v>46332</x:v>
      </x:c>
      <x:c r="G19" s="11" t="n">
        <x:v>1</x:v>
      </x:c>
      <x:c r="H19" s="11" t="str">
        <x:v>未着手</x:v>
      </x:c>
      <x:c r="I19" s="16" t="n">
        <x:f>IF(H19="完了",1,IF(H19="進行中",0.5,0))</x:f>
        <x:v>0</x:v>
      </x:c>
      <x:c r="J19" s="11" t="str">
        <x:v>ログインユーザーのボックスだけ表示できる</x:v>
      </x:c>
      <x:c r="K19" s="11" t="str">
        <x:v>11/7(土)を予備日にする</x:v>
      </x:c>
    </x:row>
    <x:row r="20" ht="42" customHeight="1">
      <x:c r="A20" s="11" t="str">
        <x:v>M-11</x:v>
      </x:c>
      <x:c r="B20" s="11" t="str">
        <x:v>製造</x:v>
      </x:c>
      <x:c r="C20" s="11" t="str">
        <x:v>ボックス追加・編集・削除画面実装</x:v>
      </x:c>
      <x:c r="D20" s="11" t="str">
        <x:v>追加/変更フォーム、Validation、削除確認を実装する</x:v>
      </x:c>
      <x:c r="E20" s="14" t="n">
        <x:v>46335</x:v>
      </x:c>
      <x:c r="F20" s="14" t="n">
        <x:v>46335</x:v>
      </x:c>
      <x:c r="G20" s="11" t="n">
        <x:v>1</x:v>
      </x:c>
      <x:c r="H20" s="11" t="str">
        <x:v>未着手</x:v>
      </x:c>
      <x:c r="I20" s="16" t="n">
        <x:f>IF(H20="完了",1,IF(H20="進行中",0.5,0))</x:f>
        <x:v>0</x:v>
      </x:c>
      <x:c r="J20" s="11" t="str">
        <x:v>登録・変更・削除が画面から行える</x:v>
      </x:c>
      <x:c r="K20" s="11" t="str">
        <x:v>11/11(水)を予備日にする</x:v>
      </x:c>
    </x:row>
    <x:row r="21" ht="42" customHeight="1">
      <x:c r="A21" s="11" t="str">
        <x:v>M-12</x:v>
      </x:c>
      <x:c r="B21" s="11" t="str">
        <x:v>製造</x:v>
      </x:c>
      <x:c r="C21" s="11" t="str">
        <x:v>パーティBackend実装</x:v>
      </x:c>
      <x:c r="D21" s="11" t="str">
        <x:v>パーティ一覧取得、登録、変更、削除をボックスの登録個体と関連付けて実装する</x:v>
      </x:c>
      <x:c r="E21" s="14" t="n">
        <x:v>46336</x:v>
      </x:c>
      <x:c r="F21" s="14" t="n">
        <x:v>46336</x:v>
      </x:c>
      <x:c r="G21" s="11" t="n">
        <x:v>1</x:v>
      </x:c>
      <x:c r="H21" s="11" t="str">
        <x:v>未着手</x:v>
      </x:c>
      <x:c r="I21" s="16" t="n">
        <x:f>IF(H21="完了",1,IF(H21="進行中",0.5,0))</x:f>
        <x:v>0</x:v>
      </x:c>
      <x:c r="J21" s="11" t="str">
        <x:v>パーティCRUDがAPIで動く</x:v>
      </x:c>
      <x:c r="K21" s="11" t="str">
        <x:v>11/11(水)を予備日にする</x:v>
      </x:c>
    </x:row>
    <x:row r="22" ht="42" customHeight="1">
      <x:c r="A22" s="11" t="str">
        <x:v>M-13</x:v>
      </x:c>
      <x:c r="B22" s="11" t="str">
        <x:v>製造</x:v>
      </x:c>
      <x:c r="C22" s="11" t="str">
        <x:v>パーティ画面実装</x:v>
      </x:c>
      <x:c r="D22" s="11" t="str">
        <x:v>6枠の表示、登録/変更/削除操作をFrontendから行えるようにする</x:v>
      </x:c>
      <x:c r="E22" s="14" t="n">
        <x:v>46338</x:v>
      </x:c>
      <x:c r="F22" s="14" t="n">
        <x:v>46338</x:v>
      </x:c>
      <x:c r="G22" s="11" t="n">
        <x:v>1</x:v>
      </x:c>
      <x:c r="H22" s="11" t="str">
        <x:v>未着手</x:v>
      </x:c>
      <x:c r="I22" s="16" t="n">
        <x:f>IF(H22="完了",1,IF(H22="進行中",0.5,0))</x:f>
        <x:v>0</x:v>
      </x:c>
      <x:c r="J22" s="11" t="str">
        <x:v>パーティ一覧と編集が画面からできる</x:v>
      </x:c>
      <x:c r="K22" s="11" t="str">
        <x:v>11/14(土)を予備日にする</x:v>
      </x:c>
    </x:row>
    <x:row r="23" ht="42" customHeight="1">
      <x:c r="A23" s="11" t="str">
        <x:v>M-14</x:v>
      </x:c>
      <x:c r="B23" s="11" t="str">
        <x:v>製造</x:v>
      </x:c>
      <x:c r="C23" s="11" t="str">
        <x:v>ホーム・共通UI・全体結合</x:v>
      </x:c>
      <x:c r="D23" s="11" t="str">
        <x:v>ホームの捕獲数、サイドバー、ヘッダー、ログアウト、画面間遷移を結合する</x:v>
      </x:c>
      <x:c r="E23" s="14" t="n">
        <x:v>46339</x:v>
      </x:c>
      <x:c r="F23" s="14" t="n">
        <x:v>46339</x:v>
      </x:c>
      <x:c r="G23" s="11" t="n">
        <x:v>1</x:v>
      </x:c>
      <x:c r="H23" s="11" t="str">
        <x:v>未着手</x:v>
      </x:c>
      <x:c r="I23" s="16" t="n">
        <x:f>IF(H23="完了",1,IF(H23="進行中",0.5,0))</x:f>
        <x:v>0</x:v>
      </x:c>
      <x:c r="J23" s="11" t="str">
        <x:v>Must機能を一連の操作で通せる</x:v>
      </x:c>
      <x:c r="K23" s="11" t="str">
        <x:v>11/14(土)を予備日にする</x:v>
      </x:c>
    </x:row>
    <x:row r="24" ht="42" customHeight="1">
      <x:c r="A24" s="11" t="str">
        <x:v>T-01</x:v>
      </x:c>
      <x:c r="B24" s="11" t="str">
        <x:v>テスト</x:v>
      </x:c>
      <x:c r="C24" s="11" t="str">
        <x:v>Backend単体テスト</x:v>
      </x:c>
      <x:c r="D24" s="11" t="str">
        <x:v>Service中心に認証、検索、CRUD、Validationの正常/異常を確認する</x:v>
      </x:c>
      <x:c r="E24" s="14" t="n">
        <x:v>46342</x:v>
      </x:c>
      <x:c r="F24" s="14" t="n">
        <x:v>46342</x:v>
      </x:c>
      <x:c r="G24" s="11" t="n">
        <x:v>1</x:v>
      </x:c>
      <x:c r="H24" s="11" t="str">
        <x:v>未着手</x:v>
      </x:c>
      <x:c r="I24" s="16" t="n">
        <x:f>IF(H24="完了",1,IF(H24="進行中",0.5,0))</x:f>
        <x:v>0</x:v>
      </x:c>
      <x:c r="J24" s="11" t="str">
        <x:v>主要Serviceの単体テストが通る</x:v>
      </x:c>
      <x:c r="K24" s="11" t="str">
        <x:v>11/18(水)を予備日にする</x:v>
      </x:c>
    </x:row>
    <x:row r="25" ht="42" customHeight="1">
      <x:c r="A25" s="11" t="str">
        <x:v>T-02</x:v>
      </x:c>
      <x:c r="B25" s="11" t="str">
        <x:v>テスト</x:v>
      </x:c>
      <x:c r="C25" s="11" t="str">
        <x:v>APIテスト</x:v>
      </x:c>
      <x:c r="D25" s="11" t="str">
        <x:v>認証・図鑑・ボックス・パーティ・相性表APIのHTTP結果を確認する</x:v>
      </x:c>
      <x:c r="E25" s="14" t="n">
        <x:v>46343</x:v>
      </x:c>
      <x:c r="F25" s="14" t="n">
        <x:v>46343</x:v>
      </x:c>
      <x:c r="G25" s="11" t="n">
        <x:v>1</x:v>
      </x:c>
      <x:c r="H25" s="11" t="str">
        <x:v>未着手</x:v>
      </x:c>
      <x:c r="I25" s="16" t="n">
        <x:f>IF(H25="完了",1,IF(H25="進行中",0.5,0))</x:f>
        <x:v>0</x:v>
      </x:c>
      <x:c r="J25" s="11" t="str">
        <x:v>主要APIの正常/異常ケースが確認済み</x:v>
      </x:c>
      <x:c r="K25" s="11" t="str">
        <x:v>11/18(水)を予備日にする</x:v>
      </x:c>
    </x:row>
    <x:row r="26" ht="42" customHeight="1">
      <x:c r="A26" s="11" t="str">
        <x:v>T-03</x:v>
      </x:c>
      <x:c r="B26" s="11" t="str">
        <x:v>テスト</x:v>
      </x:c>
      <x:c r="C26" s="11" t="str">
        <x:v>Frontend操作・Validationテスト</x:v>
      </x:c>
      <x:c r="D26" s="11" t="str">
        <x:v>各画面の入力、ボタン、遷移、エラー表示、スマホ幅を確認する</x:v>
      </x:c>
      <x:c r="E26" s="14" t="n">
        <x:v>46345</x:v>
      </x:c>
      <x:c r="F26" s="14" t="n">
        <x:v>46345</x:v>
      </x:c>
      <x:c r="G26" s="11" t="n">
        <x:v>1</x:v>
      </x:c>
      <x:c r="H26" s="11" t="str">
        <x:v>未着手</x:v>
      </x:c>
      <x:c r="I26" s="16" t="n">
        <x:f>IF(H26="完了",1,IF(H26="進行中",0.5,0))</x:f>
        <x:v>0</x:v>
      </x:c>
      <x:c r="J26" s="11" t="str">
        <x:v>主要画面の操作結果が要件どおり</x:v>
      </x:c>
      <x:c r="K26" s="11" t="str">
        <x:v>11/21(土)を予備日にする</x:v>
      </x:c>
    </x:row>
    <x:row r="27" ht="42" customHeight="1">
      <x:c r="A27" s="11" t="str">
        <x:v>T-04</x:v>
      </x:c>
      <x:c r="B27" s="11" t="str">
        <x:v>テスト</x:v>
      </x:c>
      <x:c r="C27" s="11" t="str">
        <x:v>結合テスト</x:v>
      </x:c>
      <x:c r="D27" s="11" t="str">
        <x:v>Frontend⇔Backend⇔DB⇔PokeAPIを通したシナリオテストを行う</x:v>
      </x:c>
      <x:c r="E27" s="14" t="n">
        <x:v>46346</x:v>
      </x:c>
      <x:c r="F27" s="14" t="n">
        <x:v>46346</x:v>
      </x:c>
      <x:c r="G27" s="11" t="n">
        <x:v>1</x:v>
      </x:c>
      <x:c r="H27" s="11" t="str">
        <x:v>未着手</x:v>
      </x:c>
      <x:c r="I27" s="16" t="n">
        <x:f>IF(H27="完了",1,IF(H27="進行中",0.5,0))</x:f>
        <x:v>0</x:v>
      </x:c>
      <x:c r="J27" s="11" t="str">
        <x:v>新規登録から主要機能まで一連の操作が成功する</x:v>
      </x:c>
      <x:c r="K27" s="11" t="str">
        <x:v>11/21(土)を予備日にする</x:v>
      </x:c>
    </x:row>
    <x:row r="28" ht="42" customHeight="1">
      <x:c r="A28" s="11" t="str">
        <x:v>T-05</x:v>
      </x:c>
      <x:c r="B28" s="11" t="str">
        <x:v>テスト</x:v>
      </x:c>
      <x:c r="C28" s="11" t="str">
        <x:v>障害・セキュリティ確認</x:v>
      </x:c>
      <x:c r="D28" s="11" t="str">
        <x:v>未認証アクセス、他ユーザー情報、PokeAPI失敗、DB/APIエラー時を確認する</x:v>
      </x:c>
      <x:c r="E28" s="14" t="n">
        <x:v>46349</x:v>
      </x:c>
      <x:c r="F28" s="14" t="n">
        <x:v>46349</x:v>
      </x:c>
      <x:c r="G28" s="11" t="n">
        <x:v>1</x:v>
      </x:c>
      <x:c r="H28" s="11" t="str">
        <x:v>未着手</x:v>
      </x:c>
      <x:c r="I28" s="16" t="n">
        <x:f>IF(H28="完了",1,IF(H28="進行中",0.5,0))</x:f>
        <x:v>0</x:v>
      </x:c>
      <x:c r="J28" s="11" t="str">
        <x:v>重大な情報漏えい・致命的エラーがない</x:v>
      </x:c>
      <x:c r="K28" s="11" t="str">
        <x:v>11/25(水)を予備日にする</x:v>
      </x:c>
    </x:row>
    <x:row r="29" ht="42" customHeight="1">
      <x:c r="A29" s="11" t="str">
        <x:v>T-06</x:v>
      </x:c>
      <x:c r="B29" s="11" t="str">
        <x:v>テスト</x:v>
      </x:c>
      <x:c r="C29" s="11" t="str">
        <x:v>回帰テスト・バグ修正・RC作成</x:v>
      </x:c>
      <x:c r="D29" s="11" t="str">
        <x:v>修正後に主要シナリオを再確認し、デプロイ候補版を確定する</x:v>
      </x:c>
      <x:c r="E29" s="14" t="n">
        <x:v>46350</x:v>
      </x:c>
      <x:c r="F29" s="14" t="n">
        <x:v>46350</x:v>
      </x:c>
      <x:c r="G29" s="11" t="n">
        <x:v>1</x:v>
      </x:c>
      <x:c r="H29" s="11" t="str">
        <x:v>未着手</x:v>
      </x:c>
      <x:c r="I29" s="16" t="n">
        <x:f>IF(H29="完了",1,IF(H29="進行中",0.5,0))</x:f>
        <x:v>0</x:v>
      </x:c>
      <x:c r="J29" s="11" t="str">
        <x:v>Must機能の重大バグが0件</x:v>
      </x:c>
      <x:c r="K29" s="11" t="str">
        <x:v>11/25(水)を予備日にする</x:v>
      </x:c>
    </x:row>
    <x:row r="30" ht="42" customHeight="1">
      <x:c r="A30" s="11" t="str">
        <x:v>P-01</x:v>
      </x:c>
      <x:c r="B30" s="11" t="str">
        <x:v>デプロイ</x:v>
      </x:c>
      <x:c r="C30" s="11" t="str">
        <x:v>AWS環境・本番DB準備</x:v>
      </x:c>
      <x:c r="D30" s="11" t="str">
        <x:v>設計したAWS構成で本番環境、PostgreSQL、環境変数/Secretを準備する</x:v>
      </x:c>
      <x:c r="E30" s="14" t="n">
        <x:v>46352</x:v>
      </x:c>
      <x:c r="F30" s="14" t="n">
        <x:v>46352</x:v>
      </x:c>
      <x:c r="G30" s="11" t="n">
        <x:v>1</x:v>
      </x:c>
      <x:c r="H30" s="11" t="str">
        <x:v>未着手</x:v>
      </x:c>
      <x:c r="I30" s="16" t="n">
        <x:f>IF(H30="完了",1,IF(H30="進行中",0.5,0))</x:f>
        <x:v>0</x:v>
      </x:c>
      <x:c r="J30" s="11" t="str">
        <x:v>本番DBと実行環境が起動する</x:v>
      </x:c>
      <x:c r="K30" s="11" t="str">
        <x:v>11/28(土)を予備日にする</x:v>
      </x:c>
    </x:row>
    <x:row r="31" ht="42" customHeight="1">
      <x:c r="A31" s="11" t="str">
        <x:v>P-02</x:v>
      </x:c>
      <x:c r="B31" s="11" t="str">
        <x:v>デプロイ</x:v>
      </x:c>
      <x:c r="C31" s="11" t="str">
        <x:v>Backend/Frontendデプロイ・HTTPS確認</x:v>
      </x:c>
      <x:c r="D31" s="11" t="str">
        <x:v>BackendとFrontendを公開し、CORS、環境変数、HTTPS、接続先を調整する</x:v>
      </x:c>
      <x:c r="E31" s="14" t="n">
        <x:v>46353</x:v>
      </x:c>
      <x:c r="F31" s="14" t="n">
        <x:v>46353</x:v>
      </x:c>
      <x:c r="G31" s="11" t="n">
        <x:v>1</x:v>
      </x:c>
      <x:c r="H31" s="11" t="str">
        <x:v>未着手</x:v>
      </x:c>
      <x:c r="I31" s="16" t="n">
        <x:f>IF(H31="完了",1,IF(H31="進行中",0.5,0))</x:f>
        <x:v>0</x:v>
      </x:c>
      <x:c r="J31" s="11" t="str">
        <x:v>公開URLからアプリを利用できる</x:v>
      </x:c>
      <x:c r="K31" s="11" t="str">
        <x:v>11/28(土)・11/29(日)を予備日にする</x:v>
      </x:c>
    </x:row>
    <x:row r="32" ht="42" customHeight="1">
      <x:c r="A32" s="11" t="str">
        <x:v>P-03</x:v>
      </x:c>
      <x:c r="B32" s="11" t="str">
        <x:v>デプロイ</x:v>
      </x:c>
      <x:c r="C32" s="11" t="str">
        <x:v>本番スモークテスト・最終修正・README更新</x:v>
      </x:c>
      <x:c r="D32" s="11" t="str">
        <x:v>本番で主要操作を確認し、最終修正とREADMEの構成/起動/機能/工夫点を整理する</x:v>
      </x:c>
      <x:c r="E32" s="14" t="n">
        <x:v>46356</x:v>
      </x:c>
      <x:c r="F32" s="14" t="n">
        <x:v>46356</x:v>
      </x:c>
      <x:c r="G32" s="11" t="n">
        <x:v>1</x:v>
      </x:c>
      <x:c r="H32" s="11" t="str">
        <x:v>未着手</x:v>
      </x:c>
      <x:c r="I32" s="16" t="n">
        <x:f>IF(H32="完了",1,IF(H32="進行中",0.5,0))</x:f>
        <x:v>0</x:v>
      </x:c>
      <x:c r="J32" s="11" t="str">
        <x:v>11/30中にデプロイ完了・Must機能が本番で利用可能</x:v>
      </x:c>
      <x:c r="K32" s="11" t="str">
        <x:v>11/28(土)・11/29(日)を前倒し予備日にする</x:v>
      </x:c>
    </x:row>
  </x:sheetData>
  <x:conditionalFormatting sqref="I2:I32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{B462C176-FDD7-D37C-5B89-114AAE4E5383}</x14:id>
        </x:ext>
      </x:extLst>
    </x:cfRule>
  </x:conditionalFormatting>
  <x:dataValidations count="1">
    <x:dataValidation type="list" sqref="H2:H32">
      <x:formula1>"未着手,進行中,完了,保留"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462C176-FDD7-D37C-5B89-114AAE4E5383}">
            <x14:dataBar gradient="1">
              <x14:cfvo type="min"/>
              <x14:cfvo type="max"/>
              <x14:fillColor rgb="FF156082"/>
            </x14:dataBar>
          </x14:cfRule>
          <xm:sqref>I2:I32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34" hidden="0" customWidth="1"/>
    <x:col min="5" max="5" width="42" hidden="0" customWidth="1"/>
    <x:col min="6" max="6" width="45" hidden="0" customWidth="1"/>
    <x:col min="7" max="7" width="10" hidden="0" customWidth="1"/>
  </x:cols>
  <x:sheetData>
    <x:row r="1">
      <x:c r="A1" s="10" t="str">
        <x:v>区分</x:v>
      </x:c>
      <x:c r="B1" s="10" t="str">
        <x:v>判定</x:v>
      </x:c>
      <x:c r="C1" s="10" t="str">
        <x:v>項目</x:v>
      </x:c>
      <x:c r="D1" s="10" t="str">
        <x:v>現状</x:v>
      </x:c>
      <x:c r="E1" s="10" t="str">
        <x:v>不足・矛盾</x:v>
      </x:c>
      <x:c r="F1" s="10" t="str">
        <x:v>推奨対応</x:v>
      </x:c>
      <x:c r="G1" s="10" t="str">
        <x:v>優先度</x:v>
      </x:c>
    </x:row>
    <x:row r="2" ht="54" customHeight="1">
      <x:c r="A2" s="11" t="str">
        <x:v>画面</x:v>
      </x:c>
      <x:c r="B2" s="11" t="str">
        <x:v>不足（状態）</x:v>
      </x:c>
      <x:c r="C2" s="11" t="str">
        <x:v>新規登録のエラー表示</x:v>
      </x:c>
      <x:c r="D2" s="11" t="str">
        <x:v>新規登録画面はあるがエラー内容が未定義</x:v>
      </x:c>
      <x:c r="E2" s="11" t="str">
        <x:v>重複アカウント名・Validation失敗時の表示方法が未確定</x:v>
      </x:c>
      <x:c r="F2" s="11" t="str">
        <x:v>別画面は増やさず、新規登録画面内に項目別エラーを表示</x:v>
      </x:c>
      <x:c r="G2" s="11" t="str">
        <x:v>Must</x:v>
      </x:c>
    </x:row>
    <x:row r="3" ht="54" customHeight="1">
      <x:c r="A3" s="11" t="str">
        <x:v>画面</x:v>
      </x:c>
      <x:c r="B3" s="11" t="str">
        <x:v>不足（状態）</x:v>
      </x:c>
      <x:c r="C3" s="11" t="str">
        <x:v>ログアウト操作</x:v>
      </x:c>
      <x:c r="D3" s="11" t="str">
        <x:v>ログイン状態維持は要件にある</x:v>
      </x:c>
      <x:c r="E3" s="11" t="str">
        <x:v>ログアウト手段が画面要件にない</x:v>
      </x:c>
      <x:c r="F3" s="11" t="str">
        <x:v>ヘッダー等にログアウト操作を追加。別画面は不要</x:v>
      </x:c>
      <x:c r="G3" s="11" t="str">
        <x:v>Must</x:v>
      </x:c>
    </x:row>
    <x:row r="4" ht="54" customHeight="1">
      <x:c r="A4" s="11" t="str">
        <x:v>画面</x:v>
      </x:c>
      <x:c r="B4" s="11" t="str">
        <x:v>不足（状態）</x:v>
      </x:c>
      <x:c r="C4" s="11" t="str">
        <x:v>未認証・セッション切れ時の扱い</x:v>
      </x:c>
      <x:c r="D4" s="11" t="str">
        <x:v>ログイン状態による遷移制御は「有り」</x:v>
      </x:c>
      <x:c r="E4" s="11" t="str">
        <x:v>直接URLアクセスやセッション切れ時の遷移が未定義</x:v>
      </x:c>
      <x:c r="F4" s="11" t="str">
        <x:v>ログイン画面へ戻す。必要ならメッセージ表示</x:v>
      </x:c>
      <x:c r="G4" s="11" t="str">
        <x:v>Must</x:v>
      </x:c>
    </x:row>
    <x:row r="5" ht="54" customHeight="1">
      <x:c r="A5" s="11" t="str">
        <x:v>画面</x:v>
      </x:c>
      <x:c r="B5" s="11" t="str">
        <x:v>要確認</x:v>
      </x:c>
      <x:c r="C5" s="11" t="str">
        <x:v>削除確認</x:v>
      </x:c>
      <x:c r="D5" s="11" t="str">
        <x:v>ボックス/パーティ削除要件はある</x:v>
      </x:c>
      <x:c r="E5" s="11" t="str">
        <x:v>誤削除防止の確認手段が未定義</x:v>
      </x:c>
      <x:c r="F5" s="11" t="str">
        <x:v>確認ダイアログ/モーダルを追加。独立画面にはしない</x:v>
      </x:c>
      <x:c r="G5" s="11" t="str">
        <x:v>Should</x:v>
      </x:c>
    </x:row>
    <x:row r="6" ht="54" customHeight="1">
      <x:c r="A6" s="11" t="str">
        <x:v>画面</x:v>
      </x:c>
      <x:c r="B6" s="11" t="str">
        <x:v>要確認</x:v>
      </x:c>
      <x:c r="C6" s="11" t="str">
        <x:v>Loading表示</x:v>
      </x:c>
      <x:c r="D6" s="11" t="str">
        <x:v>旧資料にはLoading記載があるが現要件では明確でない</x:v>
      </x:c>
      <x:c r="E6" s="11" t="str">
        <x:v>PokeAPI通信中の表示が未定義</x:v>
      </x:c>
      <x:c r="F6" s="11" t="str">
        <x:v>検索・詳細取得中にローディング表示を入れる</x:v>
      </x:c>
      <x:c r="G6" s="11" t="str">
        <x:v>Should</x:v>
      </x:c>
    </x:row>
    <x:row r="7" ht="54" customHeight="1">
      <x:c r="A7" s="11" t="str">
        <x:v>画面</x:v>
      </x:c>
      <x:c r="B7" s="11" t="str">
        <x:v>整合性</x:v>
      </x:c>
      <x:c r="C7" s="11" t="str">
        <x:v>ログイン失敗画面</x:v>
      </x:c>
      <x:c r="D7" s="11" t="str">
        <x:v>レイアウト資料には独立した「ログイン失敗」がある</x:v>
      </x:c>
      <x:c r="E7" s="11" t="str">
        <x:v>要件定義ではログイン画面内エラー表示になっている</x:v>
      </x:c>
      <x:c r="F7" s="11" t="str">
        <x:v>独立画面にせず、ログイン画面内エラーに統一すると実装量を抑えられる</x:v>
      </x:c>
      <x:c r="G7" s="11" t="str">
        <x:v>Must</x:v>
      </x:c>
    </x:row>
    <x:row r="8" ht="54" customHeight="1">
      <x:c r="A8" s="11" t="str">
        <x:v>API</x:v>
      </x:c>
      <x:c r="B8" s="11" t="str">
        <x:v>不足</x:v>
      </x:c>
      <x:c r="C8" s="11" t="str">
        <x:v>ユーザー新規登録API</x:v>
      </x:c>
      <x:c r="D8" s="11" t="str">
        <x:v>Frontend⇔Backend API一覧に認証APIがない</x:v>
      </x:c>
      <x:c r="E8" s="11" t="str">
        <x:v>新規登録機能を実現するAPIが未定義</x:v>
      </x:c>
      <x:c r="F8" s="11" t="str">
        <x:v>POST /api/auth/register を設計</x:v>
      </x:c>
      <x:c r="G8" s="11" t="str">
        <x:v>Must</x:v>
      </x:c>
    </x:row>
    <x:row r="9" ht="54" customHeight="1">
      <x:c r="A9" s="11" t="str">
        <x:v>API</x:v>
      </x:c>
      <x:c r="B9" s="11" t="str">
        <x:v>不足</x:v>
      </x:c>
      <x:c r="C9" s="11" t="str">
        <x:v>ログインAPI</x:v>
      </x:c>
      <x:c r="D9" s="11" t="str">
        <x:v>Frontend⇔Backend API一覧に認証APIがない</x:v>
      </x:c>
      <x:c r="E9" s="11" t="str">
        <x:v>ログイン機能を実現するAPIが未定義</x:v>
      </x:c>
      <x:c r="F9" s="11" t="str">
        <x:v>POST /api/auth/login を設計</x:v>
      </x:c>
      <x:c r="G9" s="11" t="str">
        <x:v>Must</x:v>
      </x:c>
    </x:row>
    <x:row r="10" ht="54" customHeight="1">
      <x:c r="A10" s="11" t="str">
        <x:v>API</x:v>
      </x:c>
      <x:c r="B10" s="11" t="str">
        <x:v>不足</x:v>
      </x:c>
      <x:c r="C10" s="11" t="str">
        <x:v>ログアウトAPI</x:v>
      </x:c>
      <x:c r="D10" s="11" t="str">
        <x:v>ログイン状態維持はあるがAPIなし</x:v>
      </x:c>
      <x:c r="E10" s="11" t="str">
        <x:v>セッション/トークン終了方法が未定義</x:v>
      </x:c>
      <x:c r="F10" s="11" t="str">
        <x:v>POST /api/auth/logout を設計</x:v>
      </x:c>
      <x:c r="G10" s="11" t="str">
        <x:v>Must</x:v>
      </x:c>
    </x:row>
    <x:row r="11" ht="54" customHeight="1">
      <x:c r="A11" s="11" t="str">
        <x:v>API</x:v>
      </x:c>
      <x:c r="B11" s="11" t="str">
        <x:v>不足</x:v>
      </x:c>
      <x:c r="C11" s="11" t="str">
        <x:v>ログイン状態確認API</x:v>
      </x:c>
      <x:c r="D11" s="11" t="str">
        <x:v>ヘッダーにニックネーム表示が必要</x:v>
      </x:c>
      <x:c r="E11" s="11" t="str">
        <x:v>再読込時にユーザー情報を取得する方法が未定義</x:v>
      </x:c>
      <x:c r="F11" s="11" t="str">
        <x:v>GET /api/auth/me 等を設計</x:v>
      </x:c>
      <x:c r="G11" s="11" t="str">
        <x:v>Must</x:v>
      </x:c>
    </x:row>
    <x:row r="12" ht="54" customHeight="1">
      <x:c r="A12" s="11" t="str">
        <x:v>API</x:v>
      </x:c>
      <x:c r="B12" s="11" t="str">
        <x:v>不足</x:v>
      </x:c>
      <x:c r="C12" s="11" t="str">
        <x:v>パーティ一覧取得API</x:v>
      </x:c>
      <x:c r="D12" s="11" t="str">
        <x:v>API7はPOST登録、API8は更新/削除のみ</x:v>
      </x:c>
      <x:c r="E12" s="11" t="str">
        <x:v>パーティ画面を開いたときのGETがない</x:v>
      </x:c>
      <x:c r="F12" s="11" t="str">
        <x:v>GET /api/parties を追加</x:v>
      </x:c>
      <x:c r="G12" s="11" t="str">
        <x:v>Must</x:v>
      </x:c>
    </x:row>
    <x:row r="13" ht="54" customHeight="1">
      <x:c r="A13" s="11" t="str">
        <x:v>API</x:v>
      </x:c>
      <x:c r="B13" s="11" t="str">
        <x:v>不足/明確化</x:v>
      </x:c>
      <x:c r="C13" s="11" t="str">
        <x:v>ボックス検索条件</x:v>
      </x:c>
      <x:c r="D13" s="11" t="str">
        <x:v>API3はGETだがRequestが「ボタンを押す」となっている</x:v>
      </x:c>
      <x:c r="E13" s="11" t="str">
        <x:v>名前/図鑑番号/タイプの絞り込み方法がAPI仕様にない</x:v>
      </x:c>
      <x:c r="F13" s="11" t="str">
        <x:v>GET /api/box?name=&amp;pokemonNo=&amp;type= のようにquery parameterを定義</x:v>
      </x:c>
      <x:c r="G13" s="11" t="str">
        <x:v>Must</x:v>
      </x:c>
    </x:row>
    <x:row r="14" ht="54" customHeight="1">
      <x:c r="A14" s="11" t="str">
        <x:v>API</x:v>
      </x:c>
      <x:c r="B14" s="11" t="str">
        <x:v>不足/明確化</x:v>
      </x:c>
      <x:c r="C14" s="11" t="str">
        <x:v>パーティとボックスの関連</x:v>
      </x:c>
      <x:c r="D14" s="11" t="str">
        <x:v>データ要件ではボックスとパーティに関係がある</x:v>
      </x:c>
      <x:c r="E14" s="11" t="str">
        <x:v>パーティ登録APIが画像/名前/図鑑番号/タイプの重複入力になっている</x:v>
      </x:c>
      <x:c r="F14" s="11" t="str">
        <x:v>caughtPokemonId等を送ってFKで関連付ける設計を検討</x:v>
      </x:c>
      <x:c r="G14" s="11" t="str">
        <x:v>Must</x:v>
      </x:c>
    </x:row>
    <x:row r="15" ht="54" customHeight="1">
      <x:c r="A15" s="11" t="str">
        <x:v>API</x:v>
      </x:c>
      <x:c r="B15" s="11" t="str">
        <x:v>矛盾</x:v>
      </x:c>
      <x:c r="C15" s="11" t="str">
        <x:v>API7のURLの役割</x:v>
      </x:c>
      <x:c r="D15" s="11" t="str">
        <x:v>目的は「パーティを登録する」POST</x:v>
      </x:c>
      <x:c r="E15" s="11" t="str">
        <x:v>URLの役割が「パーティを見るため」になっている</x:v>
      </x:c>
      <x:c r="F15" s="11" t="str">
        <x:v>役割を「パーティに登録するため」へ修正</x:v>
      </x:c>
      <x:c r="G15" s="11" t="str">
        <x:v>Must</x:v>
      </x:c>
    </x:row>
    <x:row r="16" ht="54" customHeight="1">
      <x:c r="A16" s="11" t="str">
        <x:v>API</x:v>
      </x:c>
      <x:c r="B16" s="11" t="str">
        <x:v>誤記</x:v>
      </x:c>
      <x:c r="C16" s="11" t="str">
        <x:v>API8の呼び出す画面・機能</x:v>
      </x:c>
      <x:c r="D16" s="11" t="str">
        <x:v>呼び出す画面・機能欄にPUT/PATCH・DELETEと記載</x:v>
      </x:c>
      <x:c r="E16" s="11" t="str">
        <x:v>画面名ではなくHTTPメソッドが入っている</x:v>
      </x:c>
      <x:c r="F16" s="11" t="str">
        <x:v>「パーティ画面/編集操作」などに修正</x:v>
      </x:c>
      <x:c r="G16" s="11" t="str">
        <x:v>Must</x:v>
      </x:c>
    </x:row>
    <x:row r="17" ht="54" customHeight="1">
      <x:c r="A17" s="11" t="str">
        <x:v>API</x:v>
      </x:c>
      <x:c r="B17" s="11" t="str">
        <x:v>要確認</x:v>
      </x:c>
      <x:c r="C17" s="11" t="str">
        <x:v>ホームの捕まえた数</x:v>
      </x:c>
      <x:c r="D17" s="11" t="str">
        <x:v>ホーム画面に捕まえた数を表示</x:v>
      </x:c>
      <x:c r="E17" s="11" t="str">
        <x:v>取得方法がAPI一覧にない</x:v>
      </x:c>
      <x:c r="F17" s="11" t="str">
        <x:v>ボックス一覧レスポンス件数を使うか、GET /api/home/summary 等を設ける</x:v>
      </x:c>
      <x:c r="G17" s="11" t="str">
        <x:v>Should</x:v>
      </x:c>
    </x:row>
    <x:row r="18" ht="54" customHeight="1">
      <x:c r="A18" s="11" t="str">
        <x:v>API</x:v>
      </x:c>
      <x:c r="B18" s="11" t="str">
        <x:v>設計不足</x:v>
      </x:c>
      <x:c r="C18" s="11" t="str">
        <x:v>具体的なURL・HTTPステータス</x:v>
      </x:c>
      <x:c r="D18" s="11" t="str">
        <x:v>APIの目的はあるが具体URLが未確定</x:v>
      </x:c>
      <x:c r="E18" s="11" t="str">
        <x:v>Controller実装・テストの基準が曖昧になる</x:v>
      </x:c>
      <x:c r="F18" s="11" t="str">
        <x:v>設計工程で全APIのURL、status、error bodyを確定</x:v>
      </x:c>
      <x:c r="G18" s="11" t="str">
        <x:v>Must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4" max="4" width="12" hidden="0" customWidth="1"/>
    <x:col min="5" max="5" width="13" hidden="0" customWidth="1"/>
    <x:col min="6" max="6" width="13" hidden="0" customWidth="1"/>
    <x:col min="7" max="7" width="12" hidden="0" customWidth="1"/>
    <x:col min="8" max="8" width="42" hidden="0" customWidth="1"/>
  </x:cols>
  <x:sheetData>
    <x:row r="1">
      <x:c r="A1" s="20" t="str">
        <x:v>Pokemon Master 開発計画サマリー</x:v>
      </x:c>
      <x:c r="B1" s="20"/>
      <x:c r="C1" s="20"/>
      <x:c r="D1" s="20"/>
      <x:c r="E1" s="20"/>
      <x:c r="F1" s="20"/>
    </x:row>
    <x:row r="3">
      <x:c r="A3" s="10" t="str">
        <x:v>項目</x:v>
      </x:c>
      <x:c r="B3" s="10" t="str">
        <x:v>内容</x:v>
      </x:c>
      <x:c r="D3" s="10" t="str">
        <x:v>工程</x:v>
      </x:c>
      <x:c r="E3" s="10" t="str">
        <x:v>開始</x:v>
      </x:c>
      <x:c r="F3" s="10" t="str">
        <x:v>終了</x:v>
      </x:c>
      <x:c r="G3" s="10" t="str">
        <x:v>作業日数</x:v>
      </x:c>
      <x:c r="H3" s="10" t="str">
        <x:v>主なゴール</x:v>
      </x:c>
    </x:row>
    <x:row r="4">
      <x:c r="A4" s="11" t="str">
        <x:v>計画開始</x:v>
      </x:c>
      <x:c r="B4" s="11" t="str">
        <x:v>2026-10-08</x:v>
      </x:c>
      <x:c r="D4" s="11" t="str">
        <x:v>設計</x:v>
      </x:c>
      <x:c r="E4" s="11" t="str">
        <x:v>2026-10-08</x:v>
      </x:c>
      <x:c r="F4" s="11" t="str">
        <x:v>2026-10-20</x:v>
      </x:c>
      <x:c r="G4" s="11" t="n">
        <x:v>8</x:v>
      </x:c>
      <x:c r="H4" s="11" t="str">
        <x:v>画面/API/DB/認証/AWS設計を確定</x:v>
      </x:c>
    </x:row>
    <x:row r="5">
      <x:c r="A5" s="11" t="str">
        <x:v>デプロイ完了期限</x:v>
      </x:c>
      <x:c r="B5" s="11" t="str">
        <x:v>2026-11-30</x:v>
      </x:c>
      <x:c r="D5" s="11" t="str">
        <x:v>製造</x:v>
      </x:c>
      <x:c r="E5" s="11" t="str">
        <x:v>2026-10-22</x:v>
      </x:c>
      <x:c r="F5" s="11" t="str">
        <x:v>2026-11-13</x:v>
      </x:c>
      <x:c r="G5" s="11" t="n">
        <x:v>14</x:v>
      </x:c>
      <x:c r="H5" s="11" t="str">
        <x:v>Must機能をローカルで一連操作可能にする</x:v>
      </x:c>
    </x:row>
    <x:row r="6">
      <x:c r="A6" s="11" t="str">
        <x:v>通常作業日</x:v>
      </x:c>
      <x:c r="B6" s="11" t="str">
        <x:v>月・火・木・金（水・土・日は休み）</x:v>
      </x:c>
      <x:c r="D6" s="11" t="str">
        <x:v>テスト</x:v>
      </x:c>
      <x:c r="E6" s="11" t="str">
        <x:v>2026-11-16</x:v>
      </x:c>
      <x:c r="F6" s="11" t="str">
        <x:v>2026-11-24</x:v>
      </x:c>
      <x:c r="G6" s="11" t="n">
        <x:v>6</x:v>
      </x:c>
      <x:c r="H6" s="11" t="str">
        <x:v>重大バグ0件のリリース候補版を作る</x:v>
      </x:c>
    </x:row>
    <x:row r="7">
      <x:c r="A7" s="11" t="str">
        <x:v>通常作業日数</x:v>
      </x:c>
      <x:c r="B7" s="11" t="str">
        <x:v>31日</x:v>
      </x:c>
      <x:c r="D7" s="11" t="str">
        <x:v>デプロイ</x:v>
      </x:c>
      <x:c r="E7" s="11" t="str">
        <x:v>2026-11-26</x:v>
      </x:c>
      <x:c r="F7" s="11" t="str">
        <x:v>2026-11-30</x:v>
      </x:c>
      <x:c r="G7" s="11" t="n">
        <x:v>3</x:v>
      </x:c>
      <x:c r="H7" s="11" t="str">
        <x:v>AWS上で公開し本番スモークテスト完了</x:v>
      </x:c>
    </x:row>
    <x:row r="8">
      <x:c r="A8" s="11" t="str">
        <x:v>遅延時</x:v>
      </x:c>
      <x:c r="B8" s="11" t="str">
        <x:v>水・土・日を予備日として使用</x:v>
      </x:c>
    </x:row>
    <x:row r="10">
      <x:c r="A10" s="5" t="str">
        <x:v>進め方のポイント</x:v>
      </x:c>
      <x:c r="B10" s="5"/>
      <x:c r="C10" s="5"/>
      <x:c r="D10" s="5"/>
      <x:c r="E10" s="5"/>
      <x:c r="F10" s="5"/>
    </x:row>
    <x:row r="11">
      <x:c r="A11" s="24" t="str">
        <x:v>・まず10/8に不足・矛盾を確定し、機能追加を増やさない。
・認証APIとパーティ一覧GETは、現要件だけでは実装できないため設計で補う。
・水/土/日は通常は休み。遅れた週だけ予備日として使う。
・11/24でリリース候補版を固定し、11/26以降は原則として新機能を追加しない。
・11/28(土)・11/29(日)は最終デプロイ遅延時の強い予備日として残す。</x:v>
      </x:c>
      <x:c r="B11" s="24"/>
      <x:c r="C11" s="24"/>
      <x:c r="D11" s="24"/>
      <x:c r="E11" s="24"/>
      <x:c r="F11" s="24"/>
    </x:row>
    <x:row r="12">
      <x:c r="A12" s="24"/>
      <x:c r="B12" s="24"/>
      <x:c r="C12" s="24"/>
      <x:c r="D12" s="24"/>
      <x:c r="E12" s="24"/>
      <x:c r="F12" s="24"/>
    </x:row>
    <x:row r="13">
      <x:c r="A13" s="24"/>
      <x:c r="B13" s="24"/>
      <x:c r="C13" s="24"/>
      <x:c r="D13" s="24"/>
      <x:c r="E13" s="24"/>
      <x:c r="F13" s="24"/>
    </x:row>
    <x:row r="14">
      <x:c r="A14" s="24"/>
      <x:c r="B14" s="24"/>
      <x:c r="C14" s="24"/>
      <x:c r="D14" s="24"/>
      <x:c r="E14" s="24"/>
      <x:c r="F14" s="24"/>
    </x:row>
    <x:row r="15">
      <x:c r="A15" s="24"/>
      <x:c r="B15" s="24"/>
      <x:c r="C15" s="24"/>
      <x:c r="D15" s="24"/>
      <x:c r="E15" s="24"/>
      <x:c r="F15" s="24"/>
    </x:row>
  </x:sheetData>
  <x:mergeCells>
    <x:mergeCell ref="A1:F1"/>
    <x:mergeCell ref="A10:F10"/>
    <x:mergeCell ref="A11:F15"/>
  </x:mergeCells>
  <x:pageMargins left="0.7" right="0.7" top="0.75" bottom="0.75" header="0.3" footer="0.3"/>
  <x:drawing xmlns:r="http://schemas.openxmlformats.org/officeDocument/2006/relationships" r:id="R636ac2dea5d148cf"/>
</x:worksheet>
</file>